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Checks" sheetId="3" state="visible" r:id="rId5"/>
    <sheet name="Inputs" sheetId="4" state="visible" r:id="rId6"/>
    <sheet name="Schedules" sheetId="5" state="visible" r:id="rId7"/>
    <sheet name="M_Original" sheetId="6" state="visible" r:id="rId8"/>
    <sheet name="M_Conservative" sheetId="7" state="visible" r:id="rId9"/>
    <sheet name="M_Base" sheetId="8" state="visible" r:id="rId10"/>
    <sheet name="M_Stretch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<sst xmlns="http://schemas.openxmlformats.org/spreadsheetml/2006/main" count="492" uniqueCount="240">
  <si>
    <t xml:space="preserve">Private AI — 3-year financial model (regenerated 2026-10-20)</t>
  </si>
  <si>
    <t xml:space="preserve">What this is</t>
  </si>
  <si>
    <t xml:space="preserve">A monthly, formula-driven model for 36 months from Oct 19, 2026, with four scenarios side by side.</t>
  </si>
  <si>
    <t xml:space="preserve">It replaces the original 3-year spreadsheet, which wasn't available; the 'Original plan' scenario is calibrated to that model's published results.</t>
  </si>
  <si>
    <t xml:space="preserve">Sheets</t>
  </si>
  <si>
    <t xml:space="preserve">Summary — key results for all four scenarios.</t>
  </si>
  <si>
    <t xml:space="preserve">Checks — Original plan scenario vs the figures in the founder brief.</t>
  </si>
  <si>
    <t xml:space="preserve">Inputs — every assumption, per scenario, with its source in column G.</t>
  </si>
  <si>
    <t xml:space="preserve">Schedules — month-by-month signings and industrial project revenue per scenario.</t>
  </si>
  <si>
    <t xml:space="preserve">M_Original / M_Conservative / M_Base / M_Stretch — the monthly models (formulas only).</t>
  </si>
  <si>
    <t xml:space="preserve">Colour code</t>
  </si>
  <si>
    <t xml:space="preserve">Blue text = input. Black = formula. Green = link to another sheet. Yellow fill = key assumption or value to confirm.</t>
  </si>
  <si>
    <t xml:space="preserve">How to use</t>
  </si>
  <si>
    <t xml:space="preserve">Change blue cells on Inputs or Schedules only. Every other number recalculates.</t>
  </si>
  <si>
    <t xml:space="preserve">Main simplifications</t>
  </si>
  <si>
    <t xml:space="preserve">1. Subscriptions start the month after acceptance; the 5% escalator is applied per model year, not per client anniversary.</t>
  </si>
  <si>
    <t xml:space="preserve">2. No client churn. Assessment fees are treated as credited to setup.</t>
  </si>
  <si>
    <t xml:space="preserve">3. Operating result excludes interest; debt service and capex appear in cash only.</t>
  </si>
  <si>
    <t xml:space="preserve">4. 'Unitemized costs' are calibrated so the Original plan scenario matches the source operating results; they apply to every scenario until the original cost lines are found.</t>
  </si>
  <si>
    <t xml:space="preserve">5. Capital needed = lowest cumulative cash before funding (after capex and debt service) plus a six-month buffer of Year-1 average costs. The source's own $375K decomposition doesn't reconcile (see 12-open-questions.md, C6).</t>
  </si>
  <si>
    <t xml:space="preserve">Sources</t>
  </si>
  <si>
    <t xml:space="preserve">Founder brief: private-ai/prompts/init.md. Revisions and research: private-ai/14-revised-plan-2026-10-20.md.</t>
  </si>
  <si>
    <t xml:space="preserve">Built by private-ai/model/build_model.py.</t>
  </si>
  <si>
    <t xml:space="preserve">Private AI — 3-year model summary (as of 2026-10-20)</t>
  </si>
  <si>
    <t xml:space="preserve">Revised scenarios follow 14-revised-plan-2026-10-20.md; 'Original plan' reproduces the founder brief's figures (see Checks). All values are formulas; change inputs on the Inputs and Schedules sheets.</t>
  </si>
  <si>
    <t xml:space="preserve">Metric</t>
  </si>
  <si>
    <t xml:space="preserve">Original plan</t>
  </si>
  <si>
    <t xml:space="preserve">Conservative</t>
  </si>
  <si>
    <t xml:space="preserve">Base</t>
  </si>
  <si>
    <t xml:space="preserve">Stretch</t>
  </si>
  <si>
    <t xml:space="preserve">Revenue, Year 1</t>
  </si>
  <si>
    <t xml:space="preserve">Revenue, Year 2</t>
  </si>
  <si>
    <t xml:space="preserve">Revenue, Year 3</t>
  </si>
  <si>
    <t xml:space="preserve">Gross margin, Year 1</t>
  </si>
  <si>
    <t xml:space="preserve">Gross margin, Year 2</t>
  </si>
  <si>
    <t xml:space="preserve">Gross margin, Year 3</t>
  </si>
  <si>
    <t xml:space="preserve">Operating result, Year 1</t>
  </si>
  <si>
    <t xml:space="preserve">Operating result, Year 2</t>
  </si>
  <si>
    <t xml:space="preserve">Operating result, Year 3</t>
  </si>
  <si>
    <t xml:space="preserve">Industrial revenue, Year 1</t>
  </si>
  <si>
    <t xml:space="preserve">Industrial revenue, Year 2</t>
  </si>
  <si>
    <t xml:space="preserve">Industrial revenue, Year 3</t>
  </si>
  <si>
    <t xml:space="preserve">Professional clients incl. TWK, month 12 (signed)</t>
  </si>
  <si>
    <t xml:space="preserve">Professional clients incl. TWK, month 24 (signed)</t>
  </si>
  <si>
    <t xml:space="preserve">Professional clients incl. TWK, month 36 (signed)</t>
  </si>
  <si>
    <t xml:space="preserve">MRR, month 6</t>
  </si>
  <si>
    <t xml:space="preserve">MRR, month 9</t>
  </si>
  <si>
    <t xml:space="preserve">MRR, month 12</t>
  </si>
  <si>
    <t xml:space="preserve">MRR, month 24</t>
  </si>
  <si>
    <t xml:space="preserve">MRR, month 36</t>
  </si>
  <si>
    <t xml:space="preserve">First month MRR reaches $20,000</t>
  </si>
  <si>
    <t xml:space="preserve">Breakeven: first month the trailing-12-month operating result is positive</t>
  </si>
  <si>
    <t xml:space="preserve">Lowest cumulative cash before funding (trough)</t>
  </si>
  <si>
    <t xml:space="preserve">Operating buffer (months x Year-1 average monthly costs)</t>
  </si>
  <si>
    <t xml:space="preserve">Capital needed (trough + buffer)</t>
  </si>
  <si>
    <t xml:space="preserve">Planned raise (debt + equity + founder capital)</t>
  </si>
  <si>
    <t xml:space="preserve">Lowest cash balance with the planned raise (negative = bridge or founder capital needed before funding closes)</t>
  </si>
  <si>
    <t xml:space="preserve">Cash balance, month 36</t>
  </si>
  <si>
    <t xml:space="preserve">Checks — Original plan scenario vs the founder brief</t>
  </si>
  <si>
    <t xml:space="preserve">The original spreadsheet isn't available. The Original plan scenario is calibrated (industrial project revenue and unitemized costs) so revenue and operating results match the brief. Gross margin is a test of the line margins.</t>
  </si>
  <si>
    <t xml:space="preserve">Source figure</t>
  </si>
  <si>
    <t xml:space="preserve">Model (Original plan)</t>
  </si>
  <si>
    <t xml:space="preserve">Difference</t>
  </si>
  <si>
    <t xml:space="preserve">Source</t>
  </si>
  <si>
    <t xml:space="preserve">Founder brief, section K</t>
  </si>
  <si>
    <t xml:space="preserve">Brief: Year-3 mix 15% of ~$860K</t>
  </si>
  <si>
    <t xml:space="preserve">Inputs — Private AI 3-year model (as of 2026-10-20)</t>
  </si>
  <si>
    <t xml:space="preserve">Blue = input you can change. Yellow fill = key assumption or a value still to confirm. Column G gives the source or basis for every number.</t>
  </si>
  <si>
    <t xml:space="preserve">Parameter</t>
  </si>
  <si>
    <t xml:space="preserve">Unit</t>
  </si>
  <si>
    <t xml:space="preserve">Source / basis</t>
  </si>
  <si>
    <t xml:space="preserve">Professional-firm clients</t>
  </si>
  <si>
    <t xml:space="preserve">TWK signing month</t>
  </si>
  <si>
    <t xml:space="preserve">month</t>
  </si>
  <si>
    <t xml:space="preserve">Assumption: TWK pilot starts week 1 (Oct 19, 2026)</t>
  </si>
  <si>
    <t xml:space="preserve">TWK setup fee (after discount)</t>
  </si>
  <si>
    <t xml:space="preserve">$</t>
  </si>
  <si>
    <t xml:space="preserve">Assumption; discount amount not in source (TODO)</t>
  </si>
  <si>
    <t xml:space="preserve">TWK subscription</t>
  </si>
  <si>
    <t xml:space="preserve">$/month</t>
  </si>
  <si>
    <t xml:space="preserve">Assumption; TWK tier not in source (TODO)</t>
  </si>
  <si>
    <t xml:space="preserve">Setup fee per other client</t>
  </si>
  <si>
    <t xml:space="preserve">Founder brief, prompts/init.md: unit economics $25,000, range $15,000–40,000. Base uses the original model's implied ~$19,100; conservative the range floor; stretch the unit-economics figure | Original column calibrated to the brief's Year-3 revenue mix (Checks)</t>
  </si>
  <si>
    <t xml:space="preserve">Subscription per other client (blended)</t>
  </si>
  <si>
    <t xml:space="preserve">Founder brief, prompts/init.md: Starter $2,500, Professional $4,500–6,500. Base uses the original model's implied ~$2,490 average; stretch a half-Starter, half-Professional blend | Original column calibrated to the brief's Year-3 revenue mix (Checks)</t>
  </si>
  <si>
    <t xml:space="preserve">Share of setup billed at signing</t>
  </si>
  <si>
    <t xml:space="preserve">%</t>
  </si>
  <si>
    <t xml:space="preserve">Decision Oct 20, 2026 (50% at signing); original assumed billed at install</t>
  </si>
  <si>
    <t xml:space="preserve">Months from signing to acceptance</t>
  </si>
  <si>
    <t xml:space="preserve">months</t>
  </si>
  <si>
    <t xml:space="preserve">Assumption; Phase 1 runs 12 weeks</t>
  </si>
  <si>
    <t xml:space="preserve">Annual subscription escalator</t>
  </si>
  <si>
    <t xml:space="preserve">Founder brief, prompts/init.md: 5% annual escalator (applied per model year)</t>
  </si>
  <si>
    <t xml:space="preserve">Add-on revenue per adopting client</t>
  </si>
  <si>
    <t xml:space="preserve">Founder brief, prompts/init.md: $12,000/yr per client in Years 2–3</t>
  </si>
  <si>
    <t xml:space="preserve">Share of clients buying add-ons</t>
  </si>
  <si>
    <t xml:space="preserve">Original: unit economics assume 1–2 add-ons; revised shares are Analysis, 14-revised-plan-2026-10-20.md | Original column calibrated to the brief's Year-3 revenue mix (Checks)</t>
  </si>
  <si>
    <t xml:space="preserve">Add-ons start (months after acceptance)</t>
  </si>
  <si>
    <t xml:space="preserve">Founder brief, prompts/init.md: add-ons after the first quarter</t>
  </si>
  <si>
    <t xml:space="preserve">Hardware cost per install</t>
  </si>
  <si>
    <t xml:space="preserve">Founder brief, prompts/init.md: unit economics $28,000</t>
  </si>
  <si>
    <t xml:space="preserve">Hardware pass-through margin</t>
  </si>
  <si>
    <t xml:space="preserve">Founder brief, prompts/init.md: cost plus 8%</t>
  </si>
  <si>
    <t xml:space="preserve">Industrial</t>
  </si>
  <si>
    <t xml:space="preserve">Contractor compliance setup</t>
  </si>
  <si>
    <t xml:space="preserve">Founder brief, prompts/init.md: $2,500–6,000; case values per Analysis, 14-revised-plan-2026-10-20.md</t>
  </si>
  <si>
    <t xml:space="preserve">Contractor compliance retainer</t>
  </si>
  <si>
    <t xml:space="preserve">Founder brief, prompts/init.md: $400–900/month; expect low end until proven (Analysis, 14-revised-plan-2026-10-20.md)</t>
  </si>
  <si>
    <t xml:space="preserve">Gross margin by line</t>
  </si>
  <si>
    <t xml:space="preserve">Setup</t>
  </si>
  <si>
    <t xml:space="preserve">Founder brief, prompts/init.md</t>
  </si>
  <si>
    <t xml:space="preserve">Subscription</t>
  </si>
  <si>
    <t xml:space="preserve">Workflow add-ons</t>
  </si>
  <si>
    <t xml:space="preserve">Hardware margin</t>
  </si>
  <si>
    <t xml:space="preserve">Contractor compliance</t>
  </si>
  <si>
    <t xml:space="preserve">Founder brief, prompts/init.md: 75–85% (midpoint)</t>
  </si>
  <si>
    <t xml:space="preserve">Industrial projects</t>
  </si>
  <si>
    <t xml:space="preserve">Founder brief, prompts/init.md: services range 55–85%; weekly target 60%+ (assumed 65%)</t>
  </si>
  <si>
    <t xml:space="preserve">People</t>
  </si>
  <si>
    <t xml:space="preserve">Founder salary, Year 1</t>
  </si>
  <si>
    <t xml:space="preserve">$/yr</t>
  </si>
  <si>
    <t xml:space="preserve">Founder salary, Year 2</t>
  </si>
  <si>
    <t xml:space="preserve">Founder salary, Year 3</t>
  </si>
  <si>
    <t xml:space="preserve">Employer payroll taxes on founder salary</t>
  </si>
  <si>
    <t xml:space="preserve">Employer FICA rate (Social Security 6.2% + Medicare 1.45%)</t>
  </si>
  <si>
    <t xml:space="preserve">First hire: start month</t>
  </si>
  <si>
    <t xml:space="preserve">Original: months 9–12 (Founder brief, prompts/init.md). Revised: the month after MRR first reaches ~$20K in that scenario (see Summary), per Analysis, 14-revised-plan-2026-10-20.md</t>
  </si>
  <si>
    <t xml:space="preserve">First hire: loaded annual cost</t>
  </si>
  <si>
    <t xml:space="preserve">Original ~$70–95K (Founder brief, prompts/init.md); revised ~$74–101K at 1.35x (BLS ECEC) — midpoints</t>
  </si>
  <si>
    <t xml:space="preserve">Second hire: start month</t>
  </si>
  <si>
    <t xml:space="preserve">Original months 22–26 (Founder brief, prompts/init.md). Revised: when MRR reaches ~$45K in that scenario (37 = not within the model horizon), per Analysis, 14-revised-plan-2026-10-20.md</t>
  </si>
  <si>
    <t xml:space="preserve">Second hire: loaded annual cost</t>
  </si>
  <si>
    <t xml:space="preserve">Original ~$80–115K (Founder brief, prompts/init.md); revised $65–90K base x1.35 — midpoints</t>
  </si>
  <si>
    <t xml:space="preserve">Contract engineer + student: start month</t>
  </si>
  <si>
    <t xml:space="preserve">Analysis, 14-revised-plan-2026-10-20.md; ends when the first hire starts; original plan had none</t>
  </si>
  <si>
    <t xml:space="preserve">Contract engineer</t>
  </si>
  <si>
    <t xml:space="preserve">Analysis, 14-revised-plan-2026-10-20.md: $600–2,200/month (midpoint)</t>
  </si>
  <si>
    <t xml:space="preserve">Student worker</t>
  </si>
  <si>
    <t xml:space="preserve">Analysis, 14-revised-plan-2026-10-20.md: $15–20/hr, 10–15 hrs/week (approx. midpoint)</t>
  </si>
  <si>
    <t xml:space="preserve">Other operating costs</t>
  </si>
  <si>
    <t xml:space="preserve">Memberships, events, travel, collateral</t>
  </si>
  <si>
    <t xml:space="preserve">Founder brief, prompts/init.md: about $25K a year</t>
  </si>
  <si>
    <t xml:space="preserve">Business insurance</t>
  </si>
  <si>
    <t xml:space="preserve">Founder brief, prompts/init.md: $6–10K in Year 1 (midpoint)</t>
  </si>
  <si>
    <t xml:space="preserve">Key-person life and disability cover</t>
  </si>
  <si>
    <t xml:space="preserve">Assumption; recommended in Analysis, 14-revised-plan-2026-10-20.md</t>
  </si>
  <si>
    <t xml:space="preserve">Software, tools, hosting, backups</t>
  </si>
  <si>
    <t xml:space="preserve">Assumption (not in source)</t>
  </si>
  <si>
    <t xml:space="preserve">Bookkeeping, legal, accounting</t>
  </si>
  <si>
    <t xml:space="preserve">One-time legal and formation (months 1–3)</t>
  </si>
  <si>
    <t xml:space="preserve">Founder brief, prompts/init.md: $20K use-of-funds line for insurance, legal, formation, SDVOSB, less insurance</t>
  </si>
  <si>
    <t xml:space="preserve">Unitemized costs, Year 1 (calibrated)</t>
  </si>
  <si>
    <t xml:space="preserve">Calibrated so the Original plan scenario matches the source operating results; itemize when the original spreadsheet is found</t>
  </si>
  <si>
    <t xml:space="preserve">Unitemized costs, Year 2 (calibrated)</t>
  </si>
  <si>
    <t xml:space="preserve">As above</t>
  </si>
  <si>
    <t xml:space="preserve">Unitemized costs, Year 3 (calibrated)</t>
  </si>
  <si>
    <t xml:space="preserve">Capex and funding</t>
  </si>
  <si>
    <t xml:space="preserve">Demo/lab appliance: purchase month</t>
  </si>
  <si>
    <t xml:space="preserve">Assumption</t>
  </si>
  <si>
    <t xml:space="preserve">Demo/lab appliance, tools, software</t>
  </si>
  <si>
    <t xml:space="preserve">Founder brief, prompts/init.md: use of funds $35,000</t>
  </si>
  <si>
    <t xml:space="preserve">Founder capital</t>
  </si>
  <si>
    <t xml:space="preserve">TODO: amount not in source</t>
  </si>
  <si>
    <t xml:space="preserve">Debt draw month</t>
  </si>
  <si>
    <t xml:space="preserve">Founder brief, prompts/init.md: debt and equity close in months 3–6</t>
  </si>
  <si>
    <t xml:space="preserve">Debt amount</t>
  </si>
  <si>
    <t xml:space="preserve">Founder brief, prompts/init.md: $150–250K (midpoint)</t>
  </si>
  <si>
    <t xml:space="preserve">Debt interest rate</t>
  </si>
  <si>
    <t xml:space="preserve">Assumption; SBA 7(a) terms to verify</t>
  </si>
  <si>
    <t xml:space="preserve">Debt term</t>
  </si>
  <si>
    <t xml:space="preserve">Assumption (10-year term)</t>
  </si>
  <si>
    <t xml:space="preserve">Equity close month</t>
  </si>
  <si>
    <t xml:space="preserve">Founder brief, prompts/init.md: months 3–6</t>
  </si>
  <si>
    <t xml:space="preserve">Equity amount</t>
  </si>
  <si>
    <t xml:space="preserve">Operating buffer (months of Year-1 average costs)</t>
  </si>
  <si>
    <t xml:space="preserve">Founder brief, prompts/init.md: six-month operating buffer</t>
  </si>
  <si>
    <t xml:space="preserve">Monthly debt payment (formula)</t>
  </si>
  <si>
    <t xml:space="preserve">Standard amortizing payment</t>
  </si>
  <si>
    <t xml:space="preserve">Schedules — monthly signings and project revenue by scenario (inputs)</t>
  </si>
  <si>
    <t xml:space="preserve">Month 1 starts Oct 19, 2026. CPA firms close May–December (tax season Jan–Apr); law firms year-round. Professional signings exclude TWK. Edit the blue cells.</t>
  </si>
  <si>
    <t xml:space="preserve">Row</t>
  </si>
  <si>
    <t xml:space="preserve">Total</t>
  </si>
  <si>
    <t xml:space="preserve">Original: 4 clients in Year 1 incl. TWK, 7 in Year 2, 9 in Year 3, ignoring the CPA calendar; industrial project revenue calibrated to the source revenue totals</t>
  </si>
  <si>
    <t xml:space="preserve">Professional clients signed (excl. TWK)</t>
  </si>
  <si>
    <t xml:space="preserve">Contractor compliance clients signed</t>
  </si>
  <si>
    <t xml:space="preserve">Industrial project revenue ($)</t>
  </si>
  <si>
    <t xml:space="preserve">Conservative per 14-revised-plan</t>
  </si>
  <si>
    <t xml:space="preserve">Base per 14-revised-plan: 3 beyond TWK in Year 1, then 7 and 9 (plan counts)</t>
  </si>
  <si>
    <t xml:space="preserve">Stretch per 14-revised-plan</t>
  </si>
  <si>
    <t xml:space="preserve">Original plan — monthly model (all cells are formulas)</t>
  </si>
  <si>
    <t xml:space="preserve">Month</t>
  </si>
  <si>
    <t xml:space="preserve">Model year</t>
  </si>
  <si>
    <t xml:space="preserve">Month starts</t>
  </si>
  <si>
    <t xml:space="preserve">Clients</t>
  </si>
  <si>
    <t xml:space="preserve">TWK signed</t>
  </si>
  <si>
    <t xml:space="preserve">Professional clients accepted (excl. TWK)</t>
  </si>
  <si>
    <t xml:space="preserve">TWK accepted</t>
  </si>
  <si>
    <t xml:space="preserve">Cumulative accepted (incl. TWK)</t>
  </si>
  <si>
    <t xml:space="preserve">Subscribing clients (excl. TWK)</t>
  </si>
  <si>
    <t xml:space="preserve">TWK subscribing</t>
  </si>
  <si>
    <t xml:space="preserve">Clients eligible for add-ons</t>
  </si>
  <si>
    <t xml:space="preserve">Compliance clients signed</t>
  </si>
  <si>
    <t xml:space="preserve">Compliance clients on retainer</t>
  </si>
  <si>
    <t xml:space="preserve">Revenue ($)</t>
  </si>
  <si>
    <t xml:space="preserve">Escalator factor</t>
  </si>
  <si>
    <t xml:space="preserve">Subscriptions</t>
  </si>
  <si>
    <t xml:space="preserve">Setup and implementation</t>
  </si>
  <si>
    <t xml:space="preserve">Total revenue</t>
  </si>
  <si>
    <t xml:space="preserve">MRR (subscriptions + add-ons + retainers)</t>
  </si>
  <si>
    <t xml:space="preserve">Gross profit ($)</t>
  </si>
  <si>
    <t xml:space="preserve">Cost of revenue</t>
  </si>
  <si>
    <t xml:space="preserve">Gross profit</t>
  </si>
  <si>
    <t xml:space="preserve">Operating costs ($)</t>
  </si>
  <si>
    <t xml:space="preserve">Founder salary</t>
  </si>
  <si>
    <t xml:space="preserve">Employer payroll taxes (founder)</t>
  </si>
  <si>
    <t xml:space="preserve">Staff (loaded)</t>
  </si>
  <si>
    <t xml:space="preserve">Contract engineer + student</t>
  </si>
  <si>
    <t xml:space="preserve">Memberships, events, travel</t>
  </si>
  <si>
    <t xml:space="preserve">Insurance (incl. key-person)</t>
  </si>
  <si>
    <t xml:space="preserve">Software, tools, hosting</t>
  </si>
  <si>
    <t xml:space="preserve">Professional fees + formation</t>
  </si>
  <si>
    <t xml:space="preserve">Unitemized (calibrated)</t>
  </si>
  <si>
    <t xml:space="preserve">Total operating costs</t>
  </si>
  <si>
    <t xml:space="preserve">Operating result</t>
  </si>
  <si>
    <t xml:space="preserve">Operating result, trailing 12 months</t>
  </si>
  <si>
    <t xml:space="preserve">Cash ($)</t>
  </si>
  <si>
    <t xml:space="preserve">Capex (demo appliance)</t>
  </si>
  <si>
    <t xml:space="preserve">Founder capital in</t>
  </si>
  <si>
    <t xml:space="preserve">Debt drawn</t>
  </si>
  <si>
    <t xml:space="preserve">Equity in</t>
  </si>
  <si>
    <t xml:space="preserve">Debt balance, opening</t>
  </si>
  <si>
    <t xml:space="preserve">Interest</t>
  </si>
  <si>
    <t xml:space="preserve">Debt payment</t>
  </si>
  <si>
    <t xml:space="preserve">Debt balance, closing</t>
  </si>
  <si>
    <t xml:space="preserve">Net cash flow</t>
  </si>
  <si>
    <t xml:space="preserve">Cash balance, end of month</t>
  </si>
  <si>
    <t xml:space="preserve">Cumulative cash before funding (after capex and debt service)</t>
  </si>
  <si>
    <t xml:space="preserve">Conservative — monthly model (all cells are formulas)</t>
  </si>
  <si>
    <t xml:space="preserve">Base — monthly model (all cells are formulas)</t>
  </si>
  <si>
    <t xml:space="preserve">Stretch — monthly model (all cells are formulas)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</si>
</sst>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mmm\ yy"/>
    <numFmt numFmtId="169" formatCode="#,##0.0;\(#,##0.0\);\-"/>
    <numFmt numFmtId="170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2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2" t="s">
        <v>21</v>
      </c>
    </row>
    <row r="29" customFormat="false" ht="15" hidden="false" customHeight="false" outlineLevel="0" collapsed="false">
      <c r="A29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5" min="2" style="0" width="17"/>
  </cols>
  <sheetData>
    <row r="1" customFormat="false" ht="17.35" hidden="false" customHeight="false" outlineLevel="0" collapsed="false">
      <c r="A1" s="1" t="s">
        <v>23</v>
      </c>
      <c r="B1" s="4"/>
      <c r="C1" s="4"/>
      <c r="D1" s="4"/>
      <c r="E1" s="4"/>
    </row>
    <row r="2" customFormat="false" ht="15" hidden="false" customHeight="false" outlineLevel="0" collapsed="false">
      <c r="A2" s="5" t="s">
        <v>24</v>
      </c>
      <c r="B2" s="4"/>
      <c r="C2" s="4"/>
      <c r="D2" s="4"/>
      <c r="E2" s="4"/>
    </row>
    <row r="3" customFormat="false" ht="15" hidden="false" customHeight="false" outlineLevel="0" collapsed="false">
      <c r="A3" s="4"/>
      <c r="B3" s="4"/>
      <c r="C3" s="4"/>
      <c r="D3" s="4"/>
      <c r="E3" s="4"/>
    </row>
    <row r="4" customFormat="false" ht="15" hidden="false" customHeight="false" outlineLevel="0" collapsed="false">
      <c r="A4" s="6" t="s">
        <v>25</v>
      </c>
      <c r="B4" s="6" t="s">
        <v>26</v>
      </c>
      <c r="C4" s="6" t="s">
        <v>27</v>
      </c>
      <c r="D4" s="6" t="s">
        <v>28</v>
      </c>
      <c r="E4" s="6" t="s">
        <v>29</v>
      </c>
    </row>
    <row r="5" customFormat="false" ht="15" hidden="false" customHeight="false" outlineLevel="0" collapsed="false">
      <c r="A5" s="2" t="s">
        <v>30</v>
      </c>
      <c r="B5" s="7" t="n">
        <f aca="false">SUMIF(M_Original!$C$3:$AL$3,1,M_Original!$C$25:$AL$25)</f>
        <v>157702</v>
      </c>
      <c r="C5" s="7" t="n">
        <f aca="false">SUMIF(M_Conservative!$C$3:$AL$3,1,M_Conservative!$C$25:$AL$25)</f>
        <v>112820</v>
      </c>
      <c r="D5" s="7" t="n">
        <f aca="false">SUMIF(M_Base!$C$3:$AL$3,1,M_Base!$C$25:$AL$25)</f>
        <v>190160</v>
      </c>
      <c r="E5" s="7" t="n">
        <f aca="false">SUMIF(M_Stretch!$C$3:$AL$3,1,M_Stretch!$C$25:$AL$25)</f>
        <v>298100</v>
      </c>
    </row>
    <row r="6" customFormat="false" ht="15" hidden="false" customHeight="false" outlineLevel="0" collapsed="false">
      <c r="A6" s="2" t="s">
        <v>31</v>
      </c>
      <c r="B6" s="7" t="n">
        <f aca="false">SUMIF(M_Original!$C$3:$AL$3,2,M_Original!$C$25:$AL$25)</f>
        <v>465012.525</v>
      </c>
      <c r="C6" s="7" t="n">
        <f aca="false">SUMIF(M_Conservative!$C$3:$AL$3,2,M_Conservative!$C$25:$AL$25)</f>
        <v>292010</v>
      </c>
      <c r="D6" s="7" t="n">
        <f aca="false">SUMIF(M_Base!$C$3:$AL$3,2,M_Base!$C$25:$AL$25)</f>
        <v>507195</v>
      </c>
      <c r="E6" s="7" t="n">
        <f aca="false">SUMIF(M_Stretch!$C$3:$AL$3,2,M_Stretch!$C$25:$AL$25)</f>
        <v>867137.5</v>
      </c>
    </row>
    <row r="7" customFormat="false" ht="15" hidden="false" customHeight="false" outlineLevel="0" collapsed="false">
      <c r="A7" s="2" t="s">
        <v>32</v>
      </c>
      <c r="B7" s="7" t="n">
        <f aca="false">SUMIF(M_Original!$C$3:$AL$3,3,M_Original!$C$25:$AL$25)</f>
        <v>860034.30375</v>
      </c>
      <c r="C7" s="7" t="n">
        <f aca="false">SUMIF(M_Conservative!$C$3:$AL$3,3,M_Conservative!$C$25:$AL$25)</f>
        <v>529025</v>
      </c>
      <c r="D7" s="7" t="n">
        <f aca="false">SUMIF(M_Base!$C$3:$AL$3,3,M_Base!$C$25:$AL$25)</f>
        <v>897969</v>
      </c>
      <c r="E7" s="7" t="n">
        <f aca="false">SUMIF(M_Stretch!$C$3:$AL$3,3,M_Stretch!$C$25:$AL$25)</f>
        <v>1528141.5</v>
      </c>
    </row>
    <row r="8" customFormat="false" ht="15" hidden="false" customHeight="false" outlineLevel="0" collapsed="false">
      <c r="A8" s="2" t="s">
        <v>33</v>
      </c>
      <c r="B8" s="8" t="n">
        <f aca="false">IFERROR(SUMIF(M_Original!$C$3:$AL$3,1,M_Original!$C$29:$AL$29)/SUMIF(M_Original!$C$3:$AL$3,1,M_Original!$C$25:$AL$25),0)</f>
        <v>0.650459727841118</v>
      </c>
      <c r="C8" s="8" t="n">
        <f aca="false">IFERROR(SUMIF(M_Conservative!$C$3:$AL$3,1,M_Conservative!$C$29:$AL$29)/SUMIF(M_Conservative!$C$3:$AL$3,1,M_Conservative!$C$25:$AL$25),0)</f>
        <v>0.671423506470484</v>
      </c>
      <c r="D8" s="8" t="n">
        <f aca="false">IFERROR(SUMIF(M_Base!$C$3:$AL$3,1,M_Base!$C$29:$AL$29)/SUMIF(M_Base!$C$3:$AL$3,1,M_Base!$C$25:$AL$25),0)</f>
        <v>0.676404080774085</v>
      </c>
      <c r="E8" s="8" t="n">
        <f aca="false">IFERROR(SUMIF(M_Stretch!$C$3:$AL$3,1,M_Stretch!$C$29:$AL$29)/SUMIF(M_Stretch!$C$3:$AL$3,1,M_Stretch!$C$25:$AL$25),0)</f>
        <v>0.672676954042268</v>
      </c>
    </row>
    <row r="9" customFormat="false" ht="15" hidden="false" customHeight="false" outlineLevel="0" collapsed="false">
      <c r="A9" s="2" t="s">
        <v>34</v>
      </c>
      <c r="B9" s="8" t="n">
        <f aca="false">IFERROR(SUMIF(M_Original!$C$3:$AL$3,2,M_Original!$C$29:$AL$29)/SUMIF(M_Original!$C$3:$AL$3,2,M_Original!$C$25:$AL$25),0)</f>
        <v>0.672928963042447</v>
      </c>
      <c r="C9" s="8" t="n">
        <f aca="false">IFERROR(SUMIF(M_Conservative!$C$3:$AL$3,2,M_Conservative!$C$29:$AL$29)/SUMIF(M_Conservative!$C$3:$AL$3,2,M_Conservative!$C$25:$AL$25),0)</f>
        <v>0.693717680901339</v>
      </c>
      <c r="D9" s="8" t="n">
        <f aca="false">IFERROR(SUMIF(M_Base!$C$3:$AL$3,2,M_Base!$C$29:$AL$29)/SUMIF(M_Base!$C$3:$AL$3,2,M_Base!$C$25:$AL$25),0)</f>
        <v>0.698276303985647</v>
      </c>
      <c r="E9" s="8" t="n">
        <f aca="false">IFERROR(SUMIF(M_Stretch!$C$3:$AL$3,2,M_Stretch!$C$29:$AL$29)/SUMIF(M_Stretch!$C$3:$AL$3,2,M_Stretch!$C$25:$AL$25),0)</f>
        <v>0.692784160528175</v>
      </c>
    </row>
    <row r="10" customFormat="false" ht="15" hidden="false" customHeight="false" outlineLevel="0" collapsed="false">
      <c r="A10" s="2" t="s">
        <v>35</v>
      </c>
      <c r="B10" s="8" t="n">
        <f aca="false">IFERROR(SUMIF(M_Original!$C$3:$AL$3,3,M_Original!$C$29:$AL$29)/SUMIF(M_Original!$C$3:$AL$3,3,M_Original!$C$25:$AL$25),0)</f>
        <v>0.685704812140757</v>
      </c>
      <c r="C10" s="8" t="n">
        <f aca="false">IFERROR(SUMIF(M_Conservative!$C$3:$AL$3,3,M_Conservative!$C$29:$AL$29)/SUMIF(M_Conservative!$C$3:$AL$3,3,M_Conservative!$C$25:$AL$25),0)</f>
        <v>0.699412244222863</v>
      </c>
      <c r="D10" s="8" t="n">
        <f aca="false">IFERROR(SUMIF(M_Base!$C$3:$AL$3,3,M_Base!$C$29:$AL$29)/SUMIF(M_Base!$C$3:$AL$3,3,M_Base!$C$25:$AL$25),0)</f>
        <v>0.70248978528212</v>
      </c>
      <c r="E10" s="8" t="n">
        <f aca="false">IFERROR(SUMIF(M_Stretch!$C$3:$AL$3,3,M_Stretch!$C$29:$AL$29)/SUMIF(M_Stretch!$C$3:$AL$3,3,M_Stretch!$C$25:$AL$25),0)</f>
        <v>0.702475474293447</v>
      </c>
    </row>
    <row r="11" customFormat="false" ht="15" hidden="false" customHeight="false" outlineLevel="0" collapsed="false">
      <c r="A11" s="2" t="s">
        <v>36</v>
      </c>
      <c r="B11" s="7" t="n">
        <f aca="false">SUMIF(M_Original!$C$3:$AL$3,1,M_Original!$C$41:$AL$41)</f>
        <v>-95000.2</v>
      </c>
      <c r="C11" s="7" t="n">
        <f aca="false">SUMIF(M_Conservative!$C$3:$AL$3,1,M_Conservative!$C$41:$AL$41)</f>
        <v>-118504</v>
      </c>
      <c r="D11" s="7" t="n">
        <f aca="false">SUMIF(M_Base!$C$3:$AL$3,1,M_Base!$C$41:$AL$41)</f>
        <v>-65629</v>
      </c>
      <c r="E11" s="7" t="n">
        <f aca="false">SUMIF(M_Stretch!$C$3:$AL$3,1,M_Stretch!$C$41:$AL$41)</f>
        <v>6271</v>
      </c>
    </row>
    <row r="12" customFormat="false" ht="15" hidden="false" customHeight="false" outlineLevel="0" collapsed="false">
      <c r="A12" s="2" t="s">
        <v>37</v>
      </c>
      <c r="B12" s="7" t="n">
        <f aca="false">SUMIF(M_Original!$C$3:$AL$3,2,M_Original!$C$41:$AL$41)</f>
        <v>15000.39625</v>
      </c>
      <c r="C12" s="7" t="n">
        <f aca="false">SUMIF(M_Conservative!$C$3:$AL$3,2,M_Conservative!$C$41:$AL$41)</f>
        <v>-33522.5</v>
      </c>
      <c r="D12" s="7" t="n">
        <f aca="false">SUMIF(M_Base!$C$3:$AL$3,2,M_Base!$C$41:$AL$41)</f>
        <v>78133.9166666667</v>
      </c>
      <c r="E12" s="7" t="n">
        <f aca="false">SUMIF(M_Stretch!$C$3:$AL$3,2,M_Stretch!$C$41:$AL$41)</f>
        <v>283485.791666667</v>
      </c>
    </row>
    <row r="13" customFormat="false" ht="15" hidden="false" customHeight="false" outlineLevel="0" collapsed="false">
      <c r="A13" s="2" t="s">
        <v>38</v>
      </c>
      <c r="B13" s="7" t="n">
        <f aca="false">SUMIF(M_Original!$C$3:$AL$3,3,M_Original!$C$41:$AL$41)</f>
        <v>154999.6606875</v>
      </c>
      <c r="C13" s="7" t="n">
        <f aca="false">SUMIF(M_Conservative!$C$3:$AL$3,3,M_Conservative!$C$41:$AL$41)</f>
        <v>31568.2291666667</v>
      </c>
      <c r="D13" s="7" t="n">
        <f aca="false">SUMIF(M_Base!$C$3:$AL$3,3,M_Base!$C$41:$AL$41)</f>
        <v>217384.05</v>
      </c>
      <c r="E13" s="7" t="n">
        <f aca="false">SUMIF(M_Stretch!$C$3:$AL$3,3,M_Stretch!$C$41:$AL$41)</f>
        <v>625051.925</v>
      </c>
    </row>
    <row r="14" customFormat="false" ht="15" hidden="false" customHeight="false" outlineLevel="0" collapsed="false">
      <c r="A14" s="2" t="s">
        <v>39</v>
      </c>
      <c r="B14" s="7" t="n">
        <f aca="false">SUMIF(M_Original!$C$3:$AL$3,1,M_Original!$C$23:$AL$23)+SUMIF(M_Original!$C$3:$AL$3,1,M_Original!$C$24:$AL$24)</f>
        <v>0</v>
      </c>
      <c r="C14" s="7" t="n">
        <f aca="false">SUMIF(M_Conservative!$C$3:$AL$3,1,M_Conservative!$C$23:$AL$23)+SUMIF(M_Conservative!$C$3:$AL$3,1,M_Conservative!$C$24:$AL$24)</f>
        <v>19600</v>
      </c>
      <c r="D14" s="7" t="n">
        <f aca="false">SUMIF(M_Base!$C$3:$AL$3,1,M_Base!$C$23:$AL$23)+SUMIF(M_Base!$C$3:$AL$3,1,M_Base!$C$24:$AL$24)</f>
        <v>50500</v>
      </c>
      <c r="E14" s="7" t="n">
        <f aca="false">SUMIF(M_Stretch!$C$3:$AL$3,1,M_Stretch!$C$23:$AL$23)+SUMIF(M_Stretch!$C$3:$AL$3,1,M_Stretch!$C$24:$AL$24)</f>
        <v>97200</v>
      </c>
    </row>
    <row r="15" customFormat="false" ht="15" hidden="false" customHeight="false" outlineLevel="0" collapsed="false">
      <c r="A15" s="2" t="s">
        <v>40</v>
      </c>
      <c r="B15" s="7" t="n">
        <f aca="false">SUMIF(M_Original!$C$3:$AL$3,2,M_Original!$C$23:$AL$23)+SUMIF(M_Original!$C$3:$AL$3,2,M_Original!$C$24:$AL$24)</f>
        <v>92298</v>
      </c>
      <c r="C15" s="7" t="n">
        <f aca="false">SUMIF(M_Conservative!$C$3:$AL$3,2,M_Conservative!$C$23:$AL$23)+SUMIF(M_Conservative!$C$3:$AL$3,2,M_Conservative!$C$24:$AL$24)</f>
        <v>61200</v>
      </c>
      <c r="D15" s="7" t="n">
        <f aca="false">SUMIF(M_Base!$C$3:$AL$3,2,M_Base!$C$23:$AL$23)+SUMIF(M_Base!$C$3:$AL$3,2,M_Base!$C$24:$AL$24)</f>
        <v>115000</v>
      </c>
      <c r="E15" s="7" t="n">
        <f aca="false">SUMIF(M_Stretch!$C$3:$AL$3,2,M_Stretch!$C$23:$AL$23)+SUMIF(M_Stretch!$C$3:$AL$3,2,M_Stretch!$C$24:$AL$24)</f>
        <v>221600</v>
      </c>
    </row>
    <row r="16" customFormat="false" ht="15" hidden="false" customHeight="false" outlineLevel="0" collapsed="false">
      <c r="A16" s="2" t="s">
        <v>41</v>
      </c>
      <c r="B16" s="7" t="n">
        <f aca="false">SUMIF(M_Original!$C$3:$AL$3,3,M_Original!$C$23:$AL$23)+SUMIF(M_Original!$C$3:$AL$3,3,M_Original!$C$24:$AL$24)</f>
        <v>108840</v>
      </c>
      <c r="C16" s="7" t="n">
        <f aca="false">SUMIF(M_Conservative!$C$3:$AL$3,3,M_Conservative!$C$23:$AL$23)+SUMIF(M_Conservative!$C$3:$AL$3,3,M_Conservative!$C$24:$AL$24)</f>
        <v>79400</v>
      </c>
      <c r="D16" s="7" t="n">
        <f aca="false">SUMIF(M_Base!$C$3:$AL$3,3,M_Base!$C$23:$AL$23)+SUMIF(M_Base!$C$3:$AL$3,3,M_Base!$C$24:$AL$24)</f>
        <v>156000</v>
      </c>
      <c r="E16" s="7" t="n">
        <f aca="false">SUMIF(M_Stretch!$C$3:$AL$3,3,M_Stretch!$C$23:$AL$23)+SUMIF(M_Stretch!$C$3:$AL$3,3,M_Stretch!$C$24:$AL$24)</f>
        <v>281200</v>
      </c>
    </row>
    <row r="17" customFormat="false" ht="15" hidden="false" customHeight="false" outlineLevel="0" collapsed="false">
      <c r="A17" s="2" t="s">
        <v>42</v>
      </c>
      <c r="B17" s="9" t="n">
        <f aca="false">SUM(M_Original!$C$8:N8)+SUM(M_Original!$C$7:N7)</f>
        <v>4</v>
      </c>
      <c r="C17" s="9" t="n">
        <f aca="false">SUM(M_Conservative!$C$8:N8)+SUM(M_Conservative!$C$7:N7)</f>
        <v>3</v>
      </c>
      <c r="D17" s="9" t="n">
        <f aca="false">SUM(M_Base!$C$8:N8)+SUM(M_Base!$C$7:N7)</f>
        <v>4</v>
      </c>
      <c r="E17" s="9" t="n">
        <f aca="false">SUM(M_Stretch!$C$8:N8)+SUM(M_Stretch!$C$7:N7)</f>
        <v>5</v>
      </c>
    </row>
    <row r="18" customFormat="false" ht="15" hidden="false" customHeight="false" outlineLevel="0" collapsed="false">
      <c r="A18" s="2" t="s">
        <v>43</v>
      </c>
      <c r="B18" s="9" t="n">
        <f aca="false">SUM(M_Original!$C$8:Z8)+SUM(M_Original!$C$7:Z7)</f>
        <v>11</v>
      </c>
      <c r="C18" s="9" t="n">
        <f aca="false">SUM(M_Conservative!$C$8:Z8)+SUM(M_Conservative!$C$7:Z7)</f>
        <v>8</v>
      </c>
      <c r="D18" s="9" t="n">
        <f aca="false">SUM(M_Base!$C$8:Z8)+SUM(M_Base!$C$7:Z7)</f>
        <v>11</v>
      </c>
      <c r="E18" s="9" t="n">
        <f aca="false">SUM(M_Stretch!$C$8:Z8)+SUM(M_Stretch!$C$7:Z7)</f>
        <v>14</v>
      </c>
    </row>
    <row r="19" customFormat="false" ht="15" hidden="false" customHeight="false" outlineLevel="0" collapsed="false">
      <c r="A19" s="2" t="s">
        <v>44</v>
      </c>
      <c r="B19" s="9" t="n">
        <f aca="false">SUM(M_Original!$C$8:AL8)+SUM(M_Original!$C$7:AL7)</f>
        <v>20</v>
      </c>
      <c r="C19" s="9" t="n">
        <f aca="false">SUM(M_Conservative!$C$8:AL8)+SUM(M_Conservative!$C$7:AL7)</f>
        <v>14</v>
      </c>
      <c r="D19" s="9" t="n">
        <f aca="false">SUM(M_Base!$C$8:AL8)+SUM(M_Base!$C$7:AL7)</f>
        <v>20</v>
      </c>
      <c r="E19" s="9" t="n">
        <f aca="false">SUM(M_Stretch!$C$8:AL8)+SUM(M_Stretch!$C$7:AL7)</f>
        <v>25</v>
      </c>
    </row>
    <row r="20" customFormat="false" ht="15" hidden="false" customHeight="false" outlineLevel="0" collapsed="false">
      <c r="A20" s="2" t="s">
        <v>45</v>
      </c>
      <c r="B20" s="7" t="n">
        <f aca="false">M_Original!H26</f>
        <v>6813.5</v>
      </c>
      <c r="C20" s="7" t="n">
        <f aca="false">M_Conservative!H26</f>
        <v>3650</v>
      </c>
      <c r="D20" s="7" t="n">
        <f aca="false">M_Base!H26</f>
        <v>5800</v>
      </c>
      <c r="E20" s="7" t="n">
        <f aca="false">M_Stretch!H26</f>
        <v>6950</v>
      </c>
    </row>
    <row r="21" customFormat="false" ht="15" hidden="false" customHeight="false" outlineLevel="0" collapsed="false">
      <c r="A21" s="2" t="s">
        <v>46</v>
      </c>
      <c r="B21" s="7" t="n">
        <f aca="false">M_Original!K26</f>
        <v>9827</v>
      </c>
      <c r="C21" s="7" t="n">
        <f aca="false">M_Conservative!K26</f>
        <v>4050</v>
      </c>
      <c r="D21" s="7" t="n">
        <f aca="false">M_Base!K26</f>
        <v>8800</v>
      </c>
      <c r="E21" s="7" t="n">
        <f aca="false">M_Stretch!K26</f>
        <v>11650</v>
      </c>
    </row>
    <row r="22" customFormat="false" ht="15" hidden="false" customHeight="false" outlineLevel="0" collapsed="false">
      <c r="A22" s="2" t="s">
        <v>47</v>
      </c>
      <c r="B22" s="7" t="n">
        <f aca="false">M_Original!N26</f>
        <v>12840.5</v>
      </c>
      <c r="C22" s="7" t="n">
        <f aca="false">M_Conservative!N26</f>
        <v>7600</v>
      </c>
      <c r="D22" s="7" t="n">
        <f aca="false">M_Base!N26</f>
        <v>12800</v>
      </c>
      <c r="E22" s="7" t="n">
        <f aca="false">M_Stretch!N26</f>
        <v>20600</v>
      </c>
    </row>
    <row r="23" customFormat="false" ht="15" hidden="false" customHeight="false" outlineLevel="0" collapsed="false">
      <c r="A23" s="2" t="s">
        <v>48</v>
      </c>
      <c r="B23" s="7" t="n">
        <f aca="false">M_Original!Z26</f>
        <v>29303.4</v>
      </c>
      <c r="C23" s="7" t="n">
        <f aca="false">M_Conservative!Z26</f>
        <v>21187.5</v>
      </c>
      <c r="D23" s="7" t="n">
        <f aca="false">M_Base!Z26</f>
        <v>38815</v>
      </c>
      <c r="E23" s="7" t="n">
        <f aca="false">M_Stretch!Z26</f>
        <v>63090</v>
      </c>
    </row>
    <row r="24" customFormat="false" ht="15" hidden="false" customHeight="false" outlineLevel="0" collapsed="false">
      <c r="A24" s="2" t="s">
        <v>49</v>
      </c>
      <c r="B24" s="7" t="n">
        <f aca="false">M_Original!AL26</f>
        <v>60092.865</v>
      </c>
      <c r="C24" s="7" t="n">
        <f aca="false">M_Conservative!AL26</f>
        <v>41458.125</v>
      </c>
      <c r="D24" s="7" t="n">
        <f aca="false">M_Base!AL26</f>
        <v>68865.75</v>
      </c>
      <c r="E24" s="7" t="n">
        <f aca="false">M_Stretch!AL26</f>
        <v>116160.75</v>
      </c>
    </row>
    <row r="25" customFormat="false" ht="15" hidden="false" customHeight="false" outlineLevel="0" collapsed="false">
      <c r="A25" s="2" t="s">
        <v>50</v>
      </c>
      <c r="B25" s="9" t="n">
        <f aca="false">IFERROR(INDEX(M_Original!$C$2:$AL$2,MATCH(TRUE(),INDEX(M_Original!$C$26:$AL$26&gt;=20000,0),0)),"after month 36")</f>
        <v>20</v>
      </c>
      <c r="C25" s="9" t="n">
        <f aca="false">IFERROR(INDEX(M_Conservative!$C$2:$AL$2,MATCH(TRUE(),INDEX(M_Conservative!$C$26:$AL$26&gt;=20000,0),0)),"after month 36")</f>
        <v>23</v>
      </c>
      <c r="D25" s="9" t="n">
        <f aca="false">IFERROR(INDEX(M_Base!$C$2:$AL$2,MATCH(TRUE(),INDEX(M_Base!$C$26:$AL$26&gt;=20000,0),0)),"after month 36")</f>
        <v>16</v>
      </c>
      <c r="E25" s="9" t="n">
        <f aca="false">IFERROR(INDEX(M_Stretch!$C$2:$AL$2,MATCH(TRUE(),INDEX(M_Stretch!$C$26:$AL$26&gt;=20000,0),0)),"after month 36")</f>
        <v>12</v>
      </c>
    </row>
    <row r="26" customFormat="false" ht="15" hidden="false" customHeight="false" outlineLevel="0" collapsed="false">
      <c r="A26" s="2" t="s">
        <v>51</v>
      </c>
      <c r="B26" s="9" t="n">
        <f aca="false">IFERROR(INDEX(M_Original!$C$2:$AL$2,MATCH(TRUE(),INDEX(M_Original!$C$42:$AL$42&gt;0,0),0)),"after month 36")</f>
        <v>24</v>
      </c>
      <c r="C26" s="9" t="n">
        <f aca="false">IFERROR(INDEX(M_Conservative!$C$2:$AL$2,MATCH(TRUE(),INDEX(M_Conservative!$C$42:$AL$42&gt;0,0),0)),"after month 36")</f>
        <v>30</v>
      </c>
      <c r="D26" s="9" t="n">
        <f aca="false">IFERROR(INDEX(M_Base!$C$2:$AL$2,MATCH(TRUE(),INDEX(M_Base!$C$42:$AL$42&gt;0,0),0)),"after month 36")</f>
        <v>18</v>
      </c>
      <c r="E26" s="9" t="n">
        <f aca="false">IFERROR(INDEX(M_Stretch!$C$2:$AL$2,MATCH(TRUE(),INDEX(M_Stretch!$C$42:$AL$42&gt;0,0),0)),"after month 36")</f>
        <v>12</v>
      </c>
    </row>
    <row r="27" customFormat="false" ht="15" hidden="false" customHeight="false" outlineLevel="0" collapsed="false">
      <c r="A27" s="2" t="s">
        <v>52</v>
      </c>
      <c r="B27" s="7" t="n">
        <f aca="false">MIN(M_Original!$C$54:$AL$54)</f>
        <v>-186336.634449331</v>
      </c>
      <c r="C27" s="7" t="n">
        <f aca="false">MIN(M_Conservative!$C$54:$AL$54)</f>
        <v>-264089.527618929</v>
      </c>
      <c r="D27" s="7" t="n">
        <f aca="false">MIN(M_Base!$C$54:$AL$54)</f>
        <v>-122927.966086265</v>
      </c>
      <c r="E27" s="7" t="n">
        <f aca="false">MIN(M_Stretch!$C$54:$AL$54)</f>
        <v>-82805.5665376886</v>
      </c>
    </row>
    <row r="28" customFormat="false" ht="15" hidden="false" customHeight="false" outlineLevel="0" collapsed="false">
      <c r="A28" s="2" t="s">
        <v>53</v>
      </c>
      <c r="B28" s="7" t="n">
        <f aca="false">Inputs!C61*SUMIF(M_Original!$C$3:$AL$3,1,M_Original!$C$40:$AL$40)/12</f>
        <v>98789.5</v>
      </c>
      <c r="C28" s="7" t="n">
        <f aca="false">Inputs!D61*SUMIF(M_Conservative!$C$3:$AL$3,1,M_Conservative!$C$40:$AL$40)/12</f>
        <v>97127</v>
      </c>
      <c r="D28" s="7" t="n">
        <f aca="false">Inputs!E61*SUMIF(M_Base!$C$3:$AL$3,1,M_Base!$C$40:$AL$40)/12</f>
        <v>97127</v>
      </c>
      <c r="E28" s="7" t="n">
        <f aca="false">Inputs!F61*SUMIF(M_Stretch!$C$3:$AL$3,1,M_Stretch!$C$40:$AL$40)/12</f>
        <v>97127</v>
      </c>
    </row>
    <row r="29" customFormat="false" ht="15" hidden="false" customHeight="false" outlineLevel="0" collapsed="false">
      <c r="A29" s="2" t="s">
        <v>54</v>
      </c>
      <c r="B29" s="7" t="n">
        <f aca="false">-B27+B28</f>
        <v>285126.134449331</v>
      </c>
      <c r="C29" s="7" t="n">
        <f aca="false">-C27+C28</f>
        <v>361216.527618929</v>
      </c>
      <c r="D29" s="7" t="n">
        <f aca="false">-D27+D28</f>
        <v>220054.966086265</v>
      </c>
      <c r="E29" s="7" t="n">
        <f aca="false">-E27+E28</f>
        <v>179932.566537689</v>
      </c>
    </row>
    <row r="30" customFormat="false" ht="15" hidden="false" customHeight="false" outlineLevel="0" collapsed="false">
      <c r="A30" s="2" t="s">
        <v>55</v>
      </c>
      <c r="B30" s="7" t="n">
        <f aca="false">Inputs!C56+Inputs!C60+Inputs!C54</f>
        <v>400000</v>
      </c>
      <c r="C30" s="7" t="n">
        <f aca="false">Inputs!D56+Inputs!D60+Inputs!D54</f>
        <v>400000</v>
      </c>
      <c r="D30" s="7" t="n">
        <f aca="false">Inputs!E56+Inputs!E60+Inputs!E54</f>
        <v>400000</v>
      </c>
      <c r="E30" s="7" t="n">
        <f aca="false">Inputs!F56+Inputs!F60+Inputs!F54</f>
        <v>400000</v>
      </c>
    </row>
    <row r="31" customFormat="false" ht="15" hidden="false" customHeight="false" outlineLevel="0" collapsed="false">
      <c r="A31" s="2" t="s">
        <v>56</v>
      </c>
      <c r="B31" s="7" t="n">
        <f aca="false">MIN(M_Original!$C$53:$AL$53)</f>
        <v>-86084.6666666667</v>
      </c>
      <c r="C31" s="7" t="n">
        <f aca="false">MIN(M_Conservative!$C$53:$AL$53)</f>
        <v>-84324.6666666667</v>
      </c>
      <c r="D31" s="7" t="n">
        <f aca="false">MIN(M_Base!$C$53:$AL$53)</f>
        <v>-78884.6666666667</v>
      </c>
      <c r="E31" s="7" t="n">
        <f aca="false">MIN(M_Stretch!$C$53:$AL$53)</f>
        <v>-73044.6666666667</v>
      </c>
    </row>
    <row r="32" customFormat="false" ht="15" hidden="false" customHeight="false" outlineLevel="0" collapsed="false">
      <c r="A32" s="2" t="s">
        <v>57</v>
      </c>
      <c r="B32" s="7" t="n">
        <f aca="false">M_Original!AL53</f>
        <v>356340.158936661</v>
      </c>
      <c r="C32" s="7" t="n">
        <f aca="false">M_Conservative!AL53</f>
        <v>160882.031165827</v>
      </c>
      <c r="D32" s="7" t="n">
        <f aca="false">M_Base!AL53</f>
        <v>511229.268665828</v>
      </c>
      <c r="E32" s="7" t="n">
        <f aca="false">M_Stretch!AL53</f>
        <v>1196149.01866583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20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58</v>
      </c>
      <c r="B1" s="4"/>
      <c r="C1" s="4"/>
      <c r="D1" s="4"/>
      <c r="E1" s="4"/>
    </row>
    <row r="2" customFormat="false" ht="15" hidden="false" customHeight="false" outlineLevel="0" collapsed="false">
      <c r="A2" s="5" t="s">
        <v>59</v>
      </c>
      <c r="B2" s="4"/>
      <c r="C2" s="4"/>
      <c r="D2" s="4"/>
      <c r="E2" s="4"/>
    </row>
    <row r="3" customFormat="false" ht="15" hidden="false" customHeight="false" outlineLevel="0" collapsed="false">
      <c r="A3" s="4"/>
      <c r="B3" s="4"/>
      <c r="C3" s="4"/>
      <c r="D3" s="4"/>
      <c r="E3" s="4"/>
    </row>
    <row r="4" customFormat="false" ht="15" hidden="false" customHeight="false" outlineLevel="0" collapsed="false">
      <c r="A4" s="6" t="s">
        <v>25</v>
      </c>
      <c r="B4" s="6" t="s">
        <v>60</v>
      </c>
      <c r="C4" s="6" t="s">
        <v>61</v>
      </c>
      <c r="D4" s="6" t="s">
        <v>62</v>
      </c>
      <c r="E4" s="6" t="s">
        <v>63</v>
      </c>
    </row>
    <row r="5" customFormat="false" ht="15" hidden="false" customHeight="false" outlineLevel="0" collapsed="false">
      <c r="A5" s="2" t="s">
        <v>30</v>
      </c>
      <c r="B5" s="10" t="n">
        <v>155000</v>
      </c>
      <c r="C5" s="7" t="n">
        <f aca="false">Summary!B5</f>
        <v>157702</v>
      </c>
      <c r="D5" s="11" t="n">
        <f aca="false">C5-B5</f>
        <v>2702</v>
      </c>
      <c r="E5" s="2" t="s">
        <v>64</v>
      </c>
    </row>
    <row r="6" customFormat="false" ht="15" hidden="false" customHeight="false" outlineLevel="0" collapsed="false">
      <c r="A6" s="2" t="s">
        <v>31</v>
      </c>
      <c r="B6" s="10" t="n">
        <v>465000</v>
      </c>
      <c r="C6" s="7" t="n">
        <f aca="false">Summary!B6</f>
        <v>465012.525</v>
      </c>
      <c r="D6" s="11" t="n">
        <f aca="false">C6-B6</f>
        <v>12.5250000000233</v>
      </c>
      <c r="E6" s="2" t="s">
        <v>64</v>
      </c>
    </row>
    <row r="7" customFormat="false" ht="15" hidden="false" customHeight="false" outlineLevel="0" collapsed="false">
      <c r="A7" s="2" t="s">
        <v>32</v>
      </c>
      <c r="B7" s="10" t="n">
        <v>860000</v>
      </c>
      <c r="C7" s="7" t="n">
        <f aca="false">Summary!B7</f>
        <v>860034.30375</v>
      </c>
      <c r="D7" s="11" t="n">
        <f aca="false">C7-B7</f>
        <v>34.3037499999628</v>
      </c>
      <c r="E7" s="2" t="s">
        <v>64</v>
      </c>
    </row>
    <row r="8" customFormat="false" ht="15" hidden="false" customHeight="false" outlineLevel="0" collapsed="false">
      <c r="A8" s="2" t="s">
        <v>33</v>
      </c>
      <c r="B8" s="12" t="n">
        <v>0.66</v>
      </c>
      <c r="C8" s="8" t="n">
        <f aca="false">Summary!B8</f>
        <v>0.650459727841118</v>
      </c>
      <c r="D8" s="13" t="n">
        <f aca="false">C8-B8</f>
        <v>-0.00954027215888209</v>
      </c>
      <c r="E8" s="2" t="s">
        <v>64</v>
      </c>
    </row>
    <row r="9" customFormat="false" ht="15" hidden="false" customHeight="false" outlineLevel="0" collapsed="false">
      <c r="A9" s="2" t="s">
        <v>34</v>
      </c>
      <c r="B9" s="12" t="n">
        <v>0.68</v>
      </c>
      <c r="C9" s="8" t="n">
        <f aca="false">Summary!B9</f>
        <v>0.672928963042447</v>
      </c>
      <c r="D9" s="13" t="n">
        <f aca="false">C9-B9</f>
        <v>-0.00707103695755307</v>
      </c>
      <c r="E9" s="2" t="s">
        <v>64</v>
      </c>
    </row>
    <row r="10" customFormat="false" ht="15" hidden="false" customHeight="false" outlineLevel="0" collapsed="false">
      <c r="A10" s="2" t="s">
        <v>35</v>
      </c>
      <c r="B10" s="12" t="n">
        <v>0.69</v>
      </c>
      <c r="C10" s="8" t="n">
        <f aca="false">Summary!B10</f>
        <v>0.685704812140757</v>
      </c>
      <c r="D10" s="13" t="n">
        <f aca="false">C10-B10</f>
        <v>-0.00429518785924343</v>
      </c>
      <c r="E10" s="2" t="s">
        <v>64</v>
      </c>
    </row>
    <row r="11" customFormat="false" ht="15" hidden="false" customHeight="false" outlineLevel="0" collapsed="false">
      <c r="A11" s="2" t="s">
        <v>36</v>
      </c>
      <c r="B11" s="10" t="n">
        <v>-95000</v>
      </c>
      <c r="C11" s="7" t="n">
        <f aca="false">Summary!B11</f>
        <v>-95000.2</v>
      </c>
      <c r="D11" s="11" t="n">
        <f aca="false">C11-B11</f>
        <v>-0.200000000011642</v>
      </c>
      <c r="E11" s="2" t="s">
        <v>64</v>
      </c>
    </row>
    <row r="12" customFormat="false" ht="15" hidden="false" customHeight="false" outlineLevel="0" collapsed="false">
      <c r="A12" s="2" t="s">
        <v>37</v>
      </c>
      <c r="B12" s="10" t="n">
        <v>15000</v>
      </c>
      <c r="C12" s="7" t="n">
        <f aca="false">Summary!B12</f>
        <v>15000.39625</v>
      </c>
      <c r="D12" s="11" t="n">
        <f aca="false">C12-B12</f>
        <v>0.396249999963402</v>
      </c>
      <c r="E12" s="2" t="s">
        <v>64</v>
      </c>
    </row>
    <row r="13" customFormat="false" ht="15" hidden="false" customHeight="false" outlineLevel="0" collapsed="false">
      <c r="A13" s="2" t="s">
        <v>38</v>
      </c>
      <c r="B13" s="10" t="n">
        <v>155000</v>
      </c>
      <c r="C13" s="7" t="n">
        <f aca="false">Summary!B13</f>
        <v>154999.6606875</v>
      </c>
      <c r="D13" s="11" t="n">
        <f aca="false">C13-B13</f>
        <v>-0.339312500000233</v>
      </c>
      <c r="E13" s="2" t="s">
        <v>64</v>
      </c>
    </row>
    <row r="14" customFormat="false" ht="15" hidden="false" customHeight="false" outlineLevel="0" collapsed="false">
      <c r="A14" s="2" t="s">
        <v>41</v>
      </c>
      <c r="B14" s="10" t="n">
        <v>129000</v>
      </c>
      <c r="C14" s="7" t="n">
        <f aca="false">Summary!B16</f>
        <v>108840</v>
      </c>
      <c r="D14" s="11" t="n">
        <f aca="false">C14-B14</f>
        <v>-20160</v>
      </c>
      <c r="E14" s="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6" min="3" style="0" width="15"/>
    <col collapsed="false" customWidth="true" hidden="false" outlineLevel="0" max="7" min="7" style="0" width="95"/>
  </cols>
  <sheetData>
    <row r="1" customFormat="false" ht="17.35" hidden="false" customHeight="false" outlineLevel="0" collapsed="false">
      <c r="A1" s="1" t="s">
        <v>66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5" t="s">
        <v>67</v>
      </c>
      <c r="B2" s="4"/>
      <c r="C2" s="4"/>
      <c r="D2" s="4"/>
      <c r="E2" s="4"/>
      <c r="F2" s="4"/>
      <c r="G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6" t="s">
        <v>68</v>
      </c>
      <c r="B4" s="6" t="s">
        <v>69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70</v>
      </c>
    </row>
    <row r="5" customFormat="false" ht="15" hidden="false" customHeight="false" outlineLevel="0" collapsed="false">
      <c r="A5" s="14" t="s">
        <v>71</v>
      </c>
      <c r="B5" s="15"/>
      <c r="C5" s="15"/>
      <c r="D5" s="15"/>
      <c r="E5" s="15"/>
      <c r="F5" s="15"/>
      <c r="G5" s="15"/>
    </row>
    <row r="6" customFormat="false" ht="15" hidden="false" customHeight="false" outlineLevel="0" collapsed="false">
      <c r="A6" s="2" t="s">
        <v>72</v>
      </c>
      <c r="B6" s="2" t="s">
        <v>73</v>
      </c>
      <c r="C6" s="16" t="n">
        <v>1</v>
      </c>
      <c r="D6" s="16" t="n">
        <v>1</v>
      </c>
      <c r="E6" s="16" t="n">
        <v>1</v>
      </c>
      <c r="F6" s="16" t="n">
        <v>1</v>
      </c>
      <c r="G6" s="2" t="s">
        <v>74</v>
      </c>
    </row>
    <row r="7" customFormat="false" ht="15" hidden="false" customHeight="false" outlineLevel="0" collapsed="false">
      <c r="A7" s="2" t="s">
        <v>75</v>
      </c>
      <c r="B7" s="2" t="s">
        <v>76</v>
      </c>
      <c r="C7" s="17" t="n">
        <v>20000</v>
      </c>
      <c r="D7" s="17" t="n">
        <v>20000</v>
      </c>
      <c r="E7" s="17" t="n">
        <v>20000</v>
      </c>
      <c r="F7" s="17" t="n">
        <v>20000</v>
      </c>
      <c r="G7" s="2" t="s">
        <v>77</v>
      </c>
    </row>
    <row r="8" customFormat="false" ht="15" hidden="false" customHeight="false" outlineLevel="0" collapsed="false">
      <c r="A8" s="2" t="s">
        <v>78</v>
      </c>
      <c r="B8" s="2" t="s">
        <v>79</v>
      </c>
      <c r="C8" s="17" t="n">
        <v>3800</v>
      </c>
      <c r="D8" s="17" t="n">
        <v>3000</v>
      </c>
      <c r="E8" s="17" t="n">
        <v>3800</v>
      </c>
      <c r="F8" s="17" t="n">
        <v>3800</v>
      </c>
      <c r="G8" s="2" t="s">
        <v>80</v>
      </c>
    </row>
    <row r="9" customFormat="false" ht="15" hidden="false" customHeight="false" outlineLevel="0" collapsed="false">
      <c r="A9" s="2" t="s">
        <v>81</v>
      </c>
      <c r="B9" s="2" t="s">
        <v>76</v>
      </c>
      <c r="C9" s="17" t="n">
        <v>19111</v>
      </c>
      <c r="D9" s="17" t="n">
        <v>15000</v>
      </c>
      <c r="E9" s="17" t="n">
        <v>19000</v>
      </c>
      <c r="F9" s="17" t="n">
        <v>25000</v>
      </c>
      <c r="G9" s="2" t="s">
        <v>82</v>
      </c>
    </row>
    <row r="10" customFormat="false" ht="15" hidden="false" customHeight="false" outlineLevel="0" collapsed="false">
      <c r="A10" s="2" t="s">
        <v>83</v>
      </c>
      <c r="B10" s="2" t="s">
        <v>79</v>
      </c>
      <c r="C10" s="17" t="n">
        <v>2490</v>
      </c>
      <c r="D10" s="17" t="n">
        <v>2500</v>
      </c>
      <c r="E10" s="17" t="n">
        <v>2500</v>
      </c>
      <c r="F10" s="17" t="n">
        <v>3500</v>
      </c>
      <c r="G10" s="2" t="s">
        <v>84</v>
      </c>
    </row>
    <row r="11" customFormat="false" ht="15" hidden="false" customHeight="false" outlineLevel="0" collapsed="false">
      <c r="A11" s="2" t="s">
        <v>85</v>
      </c>
      <c r="B11" s="2" t="s">
        <v>86</v>
      </c>
      <c r="C11" s="12" t="n">
        <v>0</v>
      </c>
      <c r="D11" s="12" t="n">
        <v>0.5</v>
      </c>
      <c r="E11" s="12" t="n">
        <v>0.5</v>
      </c>
      <c r="F11" s="12" t="n">
        <v>0.5</v>
      </c>
      <c r="G11" s="2" t="s">
        <v>87</v>
      </c>
    </row>
    <row r="12" customFormat="false" ht="15" hidden="false" customHeight="false" outlineLevel="0" collapsed="false">
      <c r="A12" s="2" t="s">
        <v>88</v>
      </c>
      <c r="B12" s="2" t="s">
        <v>89</v>
      </c>
      <c r="C12" s="16" t="n">
        <v>2</v>
      </c>
      <c r="D12" s="16" t="n">
        <v>2</v>
      </c>
      <c r="E12" s="16" t="n">
        <v>2</v>
      </c>
      <c r="F12" s="16" t="n">
        <v>2</v>
      </c>
      <c r="G12" s="2" t="s">
        <v>90</v>
      </c>
    </row>
    <row r="13" customFormat="false" ht="15" hidden="false" customHeight="false" outlineLevel="0" collapsed="false">
      <c r="A13" s="2" t="s">
        <v>91</v>
      </c>
      <c r="B13" s="2" t="s">
        <v>86</v>
      </c>
      <c r="C13" s="12" t="n">
        <v>0.05</v>
      </c>
      <c r="D13" s="12" t="n">
        <v>0.05</v>
      </c>
      <c r="E13" s="12" t="n">
        <v>0.05</v>
      </c>
      <c r="F13" s="12" t="n">
        <v>0.05</v>
      </c>
      <c r="G13" s="2" t="s">
        <v>92</v>
      </c>
    </row>
    <row r="14" customFormat="false" ht="15" hidden="false" customHeight="false" outlineLevel="0" collapsed="false">
      <c r="A14" s="2" t="s">
        <v>93</v>
      </c>
      <c r="B14" s="2" t="s">
        <v>79</v>
      </c>
      <c r="C14" s="10" t="n">
        <v>1000</v>
      </c>
      <c r="D14" s="10" t="n">
        <v>1000</v>
      </c>
      <c r="E14" s="10" t="n">
        <v>1000</v>
      </c>
      <c r="F14" s="10" t="n">
        <v>1000</v>
      </c>
      <c r="G14" s="2" t="s">
        <v>94</v>
      </c>
    </row>
    <row r="15" customFormat="false" ht="15" hidden="false" customHeight="false" outlineLevel="0" collapsed="false">
      <c r="A15" s="2" t="s">
        <v>95</v>
      </c>
      <c r="B15" s="2" t="s">
        <v>86</v>
      </c>
      <c r="C15" s="18" t="n">
        <v>0.5235</v>
      </c>
      <c r="D15" s="18" t="n">
        <v>0.25</v>
      </c>
      <c r="E15" s="18" t="n">
        <v>0.5</v>
      </c>
      <c r="F15" s="18" t="n">
        <v>0.75</v>
      </c>
      <c r="G15" s="2" t="s">
        <v>96</v>
      </c>
    </row>
    <row r="16" customFormat="false" ht="15" hidden="false" customHeight="false" outlineLevel="0" collapsed="false">
      <c r="A16" s="2" t="s">
        <v>97</v>
      </c>
      <c r="B16" s="2" t="s">
        <v>89</v>
      </c>
      <c r="C16" s="16" t="n">
        <v>3</v>
      </c>
      <c r="D16" s="16" t="n">
        <v>3</v>
      </c>
      <c r="E16" s="16" t="n">
        <v>3</v>
      </c>
      <c r="F16" s="16" t="n">
        <v>3</v>
      </c>
      <c r="G16" s="2" t="s">
        <v>98</v>
      </c>
    </row>
    <row r="17" customFormat="false" ht="15" hidden="false" customHeight="false" outlineLevel="0" collapsed="false">
      <c r="A17" s="2" t="s">
        <v>99</v>
      </c>
      <c r="B17" s="2" t="s">
        <v>76</v>
      </c>
      <c r="C17" s="10" t="n">
        <v>28000</v>
      </c>
      <c r="D17" s="10" t="n">
        <v>28000</v>
      </c>
      <c r="E17" s="10" t="n">
        <v>28000</v>
      </c>
      <c r="F17" s="10" t="n">
        <v>28000</v>
      </c>
      <c r="G17" s="2" t="s">
        <v>100</v>
      </c>
    </row>
    <row r="18" customFormat="false" ht="15" hidden="false" customHeight="false" outlineLevel="0" collapsed="false">
      <c r="A18" s="2" t="s">
        <v>101</v>
      </c>
      <c r="B18" s="2" t="s">
        <v>86</v>
      </c>
      <c r="C18" s="12" t="n">
        <v>0.08</v>
      </c>
      <c r="D18" s="12" t="n">
        <v>0.08</v>
      </c>
      <c r="E18" s="12" t="n">
        <v>0.08</v>
      </c>
      <c r="F18" s="12" t="n">
        <v>0.08</v>
      </c>
      <c r="G18" s="2" t="s">
        <v>102</v>
      </c>
    </row>
    <row r="19" customFormat="false" ht="15" hidden="false" customHeight="false" outlineLevel="0" collapsed="false">
      <c r="A19" s="14" t="s">
        <v>103</v>
      </c>
      <c r="B19" s="15"/>
      <c r="C19" s="15"/>
      <c r="D19" s="15"/>
      <c r="E19" s="15"/>
      <c r="F19" s="15"/>
      <c r="G19" s="15"/>
    </row>
    <row r="20" customFormat="false" ht="15" hidden="false" customHeight="false" outlineLevel="0" collapsed="false">
      <c r="A20" s="2" t="s">
        <v>104</v>
      </c>
      <c r="B20" s="2" t="s">
        <v>76</v>
      </c>
      <c r="C20" s="10" t="n">
        <v>0</v>
      </c>
      <c r="D20" s="10" t="n">
        <v>3000</v>
      </c>
      <c r="E20" s="10" t="n">
        <v>4000</v>
      </c>
      <c r="F20" s="10" t="n">
        <v>5000</v>
      </c>
      <c r="G20" s="2" t="s">
        <v>105</v>
      </c>
    </row>
    <row r="21" customFormat="false" ht="15" hidden="false" customHeight="false" outlineLevel="0" collapsed="false">
      <c r="A21" s="2" t="s">
        <v>106</v>
      </c>
      <c r="B21" s="2" t="s">
        <v>79</v>
      </c>
      <c r="C21" s="17" t="n">
        <v>0</v>
      </c>
      <c r="D21" s="17" t="n">
        <v>400</v>
      </c>
      <c r="E21" s="17" t="n">
        <v>500</v>
      </c>
      <c r="F21" s="17" t="n">
        <v>600</v>
      </c>
      <c r="G21" s="2" t="s">
        <v>107</v>
      </c>
    </row>
    <row r="22" customFormat="false" ht="15" hidden="false" customHeight="false" outlineLevel="0" collapsed="false">
      <c r="A22" s="14" t="s">
        <v>108</v>
      </c>
      <c r="B22" s="15"/>
      <c r="C22" s="15"/>
      <c r="D22" s="15"/>
      <c r="E22" s="15"/>
      <c r="F22" s="15"/>
      <c r="G22" s="15"/>
    </row>
    <row r="23" customFormat="false" ht="15" hidden="false" customHeight="false" outlineLevel="0" collapsed="false">
      <c r="A23" s="2" t="s">
        <v>109</v>
      </c>
      <c r="B23" s="2" t="s">
        <v>86</v>
      </c>
      <c r="C23" s="12" t="n">
        <v>0.55</v>
      </c>
      <c r="D23" s="12" t="n">
        <v>0.55</v>
      </c>
      <c r="E23" s="12" t="n">
        <v>0.55</v>
      </c>
      <c r="F23" s="12" t="n">
        <v>0.55</v>
      </c>
      <c r="G23" s="2" t="s">
        <v>110</v>
      </c>
    </row>
    <row r="24" customFormat="false" ht="15" hidden="false" customHeight="false" outlineLevel="0" collapsed="false">
      <c r="A24" s="2" t="s">
        <v>111</v>
      </c>
      <c r="B24" s="2" t="s">
        <v>86</v>
      </c>
      <c r="C24" s="12" t="n">
        <v>0.7</v>
      </c>
      <c r="D24" s="12" t="n">
        <v>0.7</v>
      </c>
      <c r="E24" s="12" t="n">
        <v>0.7</v>
      </c>
      <c r="F24" s="12" t="n">
        <v>0.7</v>
      </c>
      <c r="G24" s="2" t="s">
        <v>110</v>
      </c>
    </row>
    <row r="25" customFormat="false" ht="15" hidden="false" customHeight="false" outlineLevel="0" collapsed="false">
      <c r="A25" s="2" t="s">
        <v>112</v>
      </c>
      <c r="B25" s="2" t="s">
        <v>86</v>
      </c>
      <c r="C25" s="12" t="n">
        <v>0.85</v>
      </c>
      <c r="D25" s="12" t="n">
        <v>0.85</v>
      </c>
      <c r="E25" s="12" t="n">
        <v>0.85</v>
      </c>
      <c r="F25" s="12" t="n">
        <v>0.85</v>
      </c>
      <c r="G25" s="2" t="s">
        <v>110</v>
      </c>
    </row>
    <row r="26" customFormat="false" ht="15" hidden="false" customHeight="false" outlineLevel="0" collapsed="false">
      <c r="A26" s="2" t="s">
        <v>113</v>
      </c>
      <c r="B26" s="2" t="s">
        <v>86</v>
      </c>
      <c r="C26" s="12" t="n">
        <v>1</v>
      </c>
      <c r="D26" s="12" t="n">
        <v>1</v>
      </c>
      <c r="E26" s="12" t="n">
        <v>1</v>
      </c>
      <c r="F26" s="12" t="n">
        <v>1</v>
      </c>
      <c r="G26" s="2" t="s">
        <v>110</v>
      </c>
    </row>
    <row r="27" customFormat="false" ht="15" hidden="false" customHeight="false" outlineLevel="0" collapsed="false">
      <c r="A27" s="2" t="s">
        <v>114</v>
      </c>
      <c r="B27" s="2" t="s">
        <v>86</v>
      </c>
      <c r="C27" s="12" t="n">
        <v>0.8</v>
      </c>
      <c r="D27" s="12" t="n">
        <v>0.8</v>
      </c>
      <c r="E27" s="12" t="n">
        <v>0.8</v>
      </c>
      <c r="F27" s="12" t="n">
        <v>0.8</v>
      </c>
      <c r="G27" s="2" t="s">
        <v>115</v>
      </c>
    </row>
    <row r="28" customFormat="false" ht="15" hidden="false" customHeight="false" outlineLevel="0" collapsed="false">
      <c r="A28" s="2" t="s">
        <v>116</v>
      </c>
      <c r="B28" s="2" t="s">
        <v>86</v>
      </c>
      <c r="C28" s="18" t="n">
        <v>0.65</v>
      </c>
      <c r="D28" s="18" t="n">
        <v>0.65</v>
      </c>
      <c r="E28" s="18" t="n">
        <v>0.65</v>
      </c>
      <c r="F28" s="18" t="n">
        <v>0.65</v>
      </c>
      <c r="G28" s="2" t="s">
        <v>117</v>
      </c>
    </row>
    <row r="29" customFormat="false" ht="15" hidden="false" customHeight="false" outlineLevel="0" collapsed="false">
      <c r="A29" s="14" t="s">
        <v>118</v>
      </c>
      <c r="B29" s="15"/>
      <c r="C29" s="15"/>
      <c r="D29" s="15"/>
      <c r="E29" s="15"/>
      <c r="F29" s="15"/>
      <c r="G29" s="15"/>
    </row>
    <row r="30" customFormat="false" ht="15" hidden="false" customHeight="false" outlineLevel="0" collapsed="false">
      <c r="A30" s="2" t="s">
        <v>119</v>
      </c>
      <c r="B30" s="2" t="s">
        <v>120</v>
      </c>
      <c r="C30" s="10" t="n">
        <v>70000</v>
      </c>
      <c r="D30" s="10" t="n">
        <v>70000</v>
      </c>
      <c r="E30" s="10" t="n">
        <v>70000</v>
      </c>
      <c r="F30" s="10" t="n">
        <v>70000</v>
      </c>
      <c r="G30" s="2" t="s">
        <v>110</v>
      </c>
    </row>
    <row r="31" customFormat="false" ht="15" hidden="false" customHeight="false" outlineLevel="0" collapsed="false">
      <c r="A31" s="2" t="s">
        <v>121</v>
      </c>
      <c r="B31" s="2" t="s">
        <v>120</v>
      </c>
      <c r="C31" s="10" t="n">
        <v>100000</v>
      </c>
      <c r="D31" s="10" t="n">
        <v>100000</v>
      </c>
      <c r="E31" s="10" t="n">
        <v>100000</v>
      </c>
      <c r="F31" s="10" t="n">
        <v>100000</v>
      </c>
      <c r="G31" s="2" t="s">
        <v>110</v>
      </c>
    </row>
    <row r="32" customFormat="false" ht="15" hidden="false" customHeight="false" outlineLevel="0" collapsed="false">
      <c r="A32" s="2" t="s">
        <v>122</v>
      </c>
      <c r="B32" s="2" t="s">
        <v>120</v>
      </c>
      <c r="C32" s="10" t="n">
        <v>130000</v>
      </c>
      <c r="D32" s="10" t="n">
        <v>130000</v>
      </c>
      <c r="E32" s="10" t="n">
        <v>130000</v>
      </c>
      <c r="F32" s="10" t="n">
        <v>130000</v>
      </c>
      <c r="G32" s="2" t="s">
        <v>110</v>
      </c>
    </row>
    <row r="33" customFormat="false" ht="15" hidden="false" customHeight="false" outlineLevel="0" collapsed="false">
      <c r="A33" s="2" t="s">
        <v>123</v>
      </c>
      <c r="B33" s="2" t="s">
        <v>86</v>
      </c>
      <c r="C33" s="12" t="n">
        <v>0.0765</v>
      </c>
      <c r="D33" s="12" t="n">
        <v>0.0765</v>
      </c>
      <c r="E33" s="12" t="n">
        <v>0.0765</v>
      </c>
      <c r="F33" s="12" t="n">
        <v>0.0765</v>
      </c>
      <c r="G33" s="2" t="s">
        <v>124</v>
      </c>
    </row>
    <row r="34" customFormat="false" ht="15" hidden="false" customHeight="false" outlineLevel="0" collapsed="false">
      <c r="A34" s="2" t="s">
        <v>125</v>
      </c>
      <c r="B34" s="2" t="s">
        <v>73</v>
      </c>
      <c r="C34" s="19" t="n">
        <v>10</v>
      </c>
      <c r="D34" s="19" t="n">
        <v>26</v>
      </c>
      <c r="E34" s="19" t="n">
        <v>17</v>
      </c>
      <c r="F34" s="19" t="n">
        <v>14</v>
      </c>
      <c r="G34" s="2" t="s">
        <v>126</v>
      </c>
    </row>
    <row r="35" customFormat="false" ht="15" hidden="false" customHeight="false" outlineLevel="0" collapsed="false">
      <c r="A35" s="2" t="s">
        <v>127</v>
      </c>
      <c r="B35" s="2" t="s">
        <v>120</v>
      </c>
      <c r="C35" s="10" t="n">
        <v>82500</v>
      </c>
      <c r="D35" s="10" t="n">
        <v>87500</v>
      </c>
      <c r="E35" s="10" t="n">
        <v>87500</v>
      </c>
      <c r="F35" s="10" t="n">
        <v>87500</v>
      </c>
      <c r="G35" s="2" t="s">
        <v>128</v>
      </c>
    </row>
    <row r="36" customFormat="false" ht="15" hidden="false" customHeight="false" outlineLevel="0" collapsed="false">
      <c r="A36" s="2" t="s">
        <v>129</v>
      </c>
      <c r="B36" s="2" t="s">
        <v>73</v>
      </c>
      <c r="C36" s="19" t="n">
        <v>24</v>
      </c>
      <c r="D36" s="19" t="n">
        <v>37</v>
      </c>
      <c r="E36" s="19" t="n">
        <v>29</v>
      </c>
      <c r="F36" s="19" t="n">
        <v>22</v>
      </c>
      <c r="G36" s="2" t="s">
        <v>130</v>
      </c>
    </row>
    <row r="37" customFormat="false" ht="15" hidden="false" customHeight="false" outlineLevel="0" collapsed="false">
      <c r="A37" s="2" t="s">
        <v>131</v>
      </c>
      <c r="B37" s="2" t="s">
        <v>120</v>
      </c>
      <c r="C37" s="10" t="n">
        <v>97500</v>
      </c>
      <c r="D37" s="10" t="n">
        <v>105000</v>
      </c>
      <c r="E37" s="10" t="n">
        <v>105000</v>
      </c>
      <c r="F37" s="10" t="n">
        <v>105000</v>
      </c>
      <c r="G37" s="2" t="s">
        <v>132</v>
      </c>
    </row>
    <row r="38" customFormat="false" ht="15" hidden="false" customHeight="false" outlineLevel="0" collapsed="false">
      <c r="A38" s="2" t="s">
        <v>133</v>
      </c>
      <c r="B38" s="2" t="s">
        <v>73</v>
      </c>
      <c r="C38" s="16" t="n">
        <v>37</v>
      </c>
      <c r="D38" s="16" t="n">
        <v>6</v>
      </c>
      <c r="E38" s="16" t="n">
        <v>6</v>
      </c>
      <c r="F38" s="16" t="n">
        <v>6</v>
      </c>
      <c r="G38" s="2" t="s">
        <v>134</v>
      </c>
    </row>
    <row r="39" customFormat="false" ht="15" hidden="false" customHeight="false" outlineLevel="0" collapsed="false">
      <c r="A39" s="2" t="s">
        <v>135</v>
      </c>
      <c r="B39" s="2" t="s">
        <v>79</v>
      </c>
      <c r="C39" s="10" t="n">
        <v>0</v>
      </c>
      <c r="D39" s="10" t="n">
        <v>1400</v>
      </c>
      <c r="E39" s="10" t="n">
        <v>1400</v>
      </c>
      <c r="F39" s="10" t="n">
        <v>1400</v>
      </c>
      <c r="G39" s="2" t="s">
        <v>136</v>
      </c>
    </row>
    <row r="40" customFormat="false" ht="15" hidden="false" customHeight="false" outlineLevel="0" collapsed="false">
      <c r="A40" s="2" t="s">
        <v>137</v>
      </c>
      <c r="B40" s="2" t="s">
        <v>79</v>
      </c>
      <c r="C40" s="10" t="n">
        <v>0</v>
      </c>
      <c r="D40" s="10" t="n">
        <v>900</v>
      </c>
      <c r="E40" s="10" t="n">
        <v>900</v>
      </c>
      <c r="F40" s="10" t="n">
        <v>900</v>
      </c>
      <c r="G40" s="2" t="s">
        <v>138</v>
      </c>
    </row>
    <row r="41" customFormat="false" ht="15" hidden="false" customHeight="false" outlineLevel="0" collapsed="false">
      <c r="A41" s="14" t="s">
        <v>139</v>
      </c>
      <c r="B41" s="15"/>
      <c r="C41" s="15"/>
      <c r="D41" s="15"/>
      <c r="E41" s="15"/>
      <c r="F41" s="15"/>
      <c r="G41" s="15"/>
    </row>
    <row r="42" customFormat="false" ht="15" hidden="false" customHeight="false" outlineLevel="0" collapsed="false">
      <c r="A42" s="2" t="s">
        <v>140</v>
      </c>
      <c r="B42" s="2" t="s">
        <v>120</v>
      </c>
      <c r="C42" s="10" t="n">
        <v>25000</v>
      </c>
      <c r="D42" s="10" t="n">
        <v>25000</v>
      </c>
      <c r="E42" s="10" t="n">
        <v>25000</v>
      </c>
      <c r="F42" s="10" t="n">
        <v>25000</v>
      </c>
      <c r="G42" s="2" t="s">
        <v>141</v>
      </c>
    </row>
    <row r="43" customFormat="false" ht="15" hidden="false" customHeight="false" outlineLevel="0" collapsed="false">
      <c r="A43" s="2" t="s">
        <v>142</v>
      </c>
      <c r="B43" s="2" t="s">
        <v>120</v>
      </c>
      <c r="C43" s="10" t="n">
        <v>8000</v>
      </c>
      <c r="D43" s="10" t="n">
        <v>8000</v>
      </c>
      <c r="E43" s="10" t="n">
        <v>8000</v>
      </c>
      <c r="F43" s="10" t="n">
        <v>8000</v>
      </c>
      <c r="G43" s="2" t="s">
        <v>143</v>
      </c>
    </row>
    <row r="44" customFormat="false" ht="15" hidden="false" customHeight="false" outlineLevel="0" collapsed="false">
      <c r="A44" s="2" t="s">
        <v>144</v>
      </c>
      <c r="B44" s="2" t="s">
        <v>120</v>
      </c>
      <c r="C44" s="17" t="n">
        <v>0</v>
      </c>
      <c r="D44" s="17" t="n">
        <v>1200</v>
      </c>
      <c r="E44" s="17" t="n">
        <v>1200</v>
      </c>
      <c r="F44" s="17" t="n">
        <v>1200</v>
      </c>
      <c r="G44" s="2" t="s">
        <v>145</v>
      </c>
    </row>
    <row r="45" customFormat="false" ht="15" hidden="false" customHeight="false" outlineLevel="0" collapsed="false">
      <c r="A45" s="2" t="s">
        <v>146</v>
      </c>
      <c r="B45" s="2" t="s">
        <v>79</v>
      </c>
      <c r="C45" s="17" t="n">
        <v>1000</v>
      </c>
      <c r="D45" s="17" t="n">
        <v>1000</v>
      </c>
      <c r="E45" s="17" t="n">
        <v>1000</v>
      </c>
      <c r="F45" s="17" t="n">
        <v>1000</v>
      </c>
      <c r="G45" s="2" t="s">
        <v>147</v>
      </c>
    </row>
    <row r="46" customFormat="false" ht="15" hidden="false" customHeight="false" outlineLevel="0" collapsed="false">
      <c r="A46" s="2" t="s">
        <v>148</v>
      </c>
      <c r="B46" s="2" t="s">
        <v>79</v>
      </c>
      <c r="C46" s="17" t="n">
        <v>1000</v>
      </c>
      <c r="D46" s="17" t="n">
        <v>1000</v>
      </c>
      <c r="E46" s="17" t="n">
        <v>1000</v>
      </c>
      <c r="F46" s="17" t="n">
        <v>1000</v>
      </c>
      <c r="G46" s="2" t="s">
        <v>147</v>
      </c>
    </row>
    <row r="47" customFormat="false" ht="15" hidden="false" customHeight="false" outlineLevel="0" collapsed="false">
      <c r="A47" s="2" t="s">
        <v>149</v>
      </c>
      <c r="B47" s="2" t="s">
        <v>76</v>
      </c>
      <c r="C47" s="10" t="n">
        <v>12000</v>
      </c>
      <c r="D47" s="10" t="n">
        <v>12000</v>
      </c>
      <c r="E47" s="10" t="n">
        <v>12000</v>
      </c>
      <c r="F47" s="10" t="n">
        <v>12000</v>
      </c>
      <c r="G47" s="2" t="s">
        <v>150</v>
      </c>
    </row>
    <row r="48" customFormat="false" ht="15" hidden="false" customHeight="false" outlineLevel="0" collapsed="false">
      <c r="A48" s="2" t="s">
        <v>151</v>
      </c>
      <c r="B48" s="2" t="s">
        <v>120</v>
      </c>
      <c r="C48" s="17" t="n">
        <v>32599</v>
      </c>
      <c r="D48" s="17" t="n">
        <v>32599</v>
      </c>
      <c r="E48" s="17" t="n">
        <v>32599</v>
      </c>
      <c r="F48" s="17" t="n">
        <v>32599</v>
      </c>
      <c r="G48" s="2" t="s">
        <v>152</v>
      </c>
    </row>
    <row r="49" customFormat="false" ht="15" hidden="false" customHeight="false" outlineLevel="0" collapsed="false">
      <c r="A49" s="2" t="s">
        <v>153</v>
      </c>
      <c r="B49" s="2" t="s">
        <v>120</v>
      </c>
      <c r="C49" s="17" t="n">
        <v>42645</v>
      </c>
      <c r="D49" s="17" t="n">
        <v>42645</v>
      </c>
      <c r="E49" s="17" t="n">
        <v>42645</v>
      </c>
      <c r="F49" s="17" t="n">
        <v>42645</v>
      </c>
      <c r="G49" s="2" t="s">
        <v>154</v>
      </c>
    </row>
    <row r="50" customFormat="false" ht="15" hidden="false" customHeight="false" outlineLevel="0" collapsed="false">
      <c r="A50" s="2" t="s">
        <v>155</v>
      </c>
      <c r="B50" s="2" t="s">
        <v>120</v>
      </c>
      <c r="C50" s="17" t="n">
        <v>57785</v>
      </c>
      <c r="D50" s="17" t="n">
        <v>57785</v>
      </c>
      <c r="E50" s="17" t="n">
        <v>57785</v>
      </c>
      <c r="F50" s="17" t="n">
        <v>57785</v>
      </c>
      <c r="G50" s="2" t="s">
        <v>154</v>
      </c>
    </row>
    <row r="51" customFormat="false" ht="15" hidden="false" customHeight="false" outlineLevel="0" collapsed="false">
      <c r="A51" s="14" t="s">
        <v>156</v>
      </c>
      <c r="B51" s="15"/>
      <c r="C51" s="15"/>
      <c r="D51" s="15"/>
      <c r="E51" s="15"/>
      <c r="F51" s="15"/>
      <c r="G51" s="15"/>
    </row>
    <row r="52" customFormat="false" ht="15" hidden="false" customHeight="false" outlineLevel="0" collapsed="false">
      <c r="A52" s="2" t="s">
        <v>157</v>
      </c>
      <c r="B52" s="2" t="s">
        <v>73</v>
      </c>
      <c r="C52" s="16" t="n">
        <v>1</v>
      </c>
      <c r="D52" s="16" t="n">
        <v>1</v>
      </c>
      <c r="E52" s="16" t="n">
        <v>1</v>
      </c>
      <c r="F52" s="16" t="n">
        <v>1</v>
      </c>
      <c r="G52" s="2" t="s">
        <v>158</v>
      </c>
    </row>
    <row r="53" customFormat="false" ht="15" hidden="false" customHeight="false" outlineLevel="0" collapsed="false">
      <c r="A53" s="2" t="s">
        <v>159</v>
      </c>
      <c r="B53" s="2" t="s">
        <v>76</v>
      </c>
      <c r="C53" s="10" t="n">
        <v>35000</v>
      </c>
      <c r="D53" s="10" t="n">
        <v>35000</v>
      </c>
      <c r="E53" s="10" t="n">
        <v>35000</v>
      </c>
      <c r="F53" s="10" t="n">
        <v>35000</v>
      </c>
      <c r="G53" s="2" t="s">
        <v>160</v>
      </c>
    </row>
    <row r="54" customFormat="false" ht="15" hidden="false" customHeight="false" outlineLevel="0" collapsed="false">
      <c r="A54" s="2" t="s">
        <v>161</v>
      </c>
      <c r="B54" s="2" t="s">
        <v>76</v>
      </c>
      <c r="C54" s="17" t="n">
        <v>0</v>
      </c>
      <c r="D54" s="17" t="n">
        <v>0</v>
      </c>
      <c r="E54" s="17" t="n">
        <v>0</v>
      </c>
      <c r="F54" s="17" t="n">
        <v>0</v>
      </c>
      <c r="G54" s="2" t="s">
        <v>162</v>
      </c>
    </row>
    <row r="55" customFormat="false" ht="15" hidden="false" customHeight="false" outlineLevel="0" collapsed="false">
      <c r="A55" s="2" t="s">
        <v>163</v>
      </c>
      <c r="B55" s="2" t="s">
        <v>73</v>
      </c>
      <c r="C55" s="16" t="n">
        <v>5</v>
      </c>
      <c r="D55" s="16" t="n">
        <v>5</v>
      </c>
      <c r="E55" s="16" t="n">
        <v>5</v>
      </c>
      <c r="F55" s="16" t="n">
        <v>5</v>
      </c>
      <c r="G55" s="2" t="s">
        <v>164</v>
      </c>
    </row>
    <row r="56" customFormat="false" ht="15" hidden="false" customHeight="false" outlineLevel="0" collapsed="false">
      <c r="A56" s="2" t="s">
        <v>165</v>
      </c>
      <c r="B56" s="2" t="s">
        <v>76</v>
      </c>
      <c r="C56" s="10" t="n">
        <v>200000</v>
      </c>
      <c r="D56" s="10" t="n">
        <v>200000</v>
      </c>
      <c r="E56" s="10" t="n">
        <v>200000</v>
      </c>
      <c r="F56" s="10" t="n">
        <v>200000</v>
      </c>
      <c r="G56" s="2" t="s">
        <v>166</v>
      </c>
    </row>
    <row r="57" customFormat="false" ht="15" hidden="false" customHeight="false" outlineLevel="0" collapsed="false">
      <c r="A57" s="2" t="s">
        <v>167</v>
      </c>
      <c r="B57" s="2" t="s">
        <v>86</v>
      </c>
      <c r="C57" s="18" t="n">
        <v>0.105</v>
      </c>
      <c r="D57" s="18" t="n">
        <v>0.105</v>
      </c>
      <c r="E57" s="18" t="n">
        <v>0.105</v>
      </c>
      <c r="F57" s="18" t="n">
        <v>0.105</v>
      </c>
      <c r="G57" s="2" t="s">
        <v>168</v>
      </c>
    </row>
    <row r="58" customFormat="false" ht="15" hidden="false" customHeight="false" outlineLevel="0" collapsed="false">
      <c r="A58" s="2" t="s">
        <v>169</v>
      </c>
      <c r="B58" s="2" t="s">
        <v>89</v>
      </c>
      <c r="C58" s="19" t="n">
        <v>120</v>
      </c>
      <c r="D58" s="19" t="n">
        <v>120</v>
      </c>
      <c r="E58" s="19" t="n">
        <v>120</v>
      </c>
      <c r="F58" s="19" t="n">
        <v>120</v>
      </c>
      <c r="G58" s="2" t="s">
        <v>170</v>
      </c>
    </row>
    <row r="59" customFormat="false" ht="15" hidden="false" customHeight="false" outlineLevel="0" collapsed="false">
      <c r="A59" s="2" t="s">
        <v>171</v>
      </c>
      <c r="B59" s="2" t="s">
        <v>73</v>
      </c>
      <c r="C59" s="16" t="n">
        <v>5</v>
      </c>
      <c r="D59" s="16" t="n">
        <v>5</v>
      </c>
      <c r="E59" s="16" t="n">
        <v>5</v>
      </c>
      <c r="F59" s="16" t="n">
        <v>5</v>
      </c>
      <c r="G59" s="2" t="s">
        <v>172</v>
      </c>
    </row>
    <row r="60" customFormat="false" ht="15" hidden="false" customHeight="false" outlineLevel="0" collapsed="false">
      <c r="A60" s="2" t="s">
        <v>173</v>
      </c>
      <c r="B60" s="2" t="s">
        <v>76</v>
      </c>
      <c r="C60" s="10" t="n">
        <v>200000</v>
      </c>
      <c r="D60" s="10" t="n">
        <v>200000</v>
      </c>
      <c r="E60" s="10" t="n">
        <v>200000</v>
      </c>
      <c r="F60" s="10" t="n">
        <v>200000</v>
      </c>
      <c r="G60" s="2" t="s">
        <v>166</v>
      </c>
    </row>
    <row r="61" customFormat="false" ht="15" hidden="false" customHeight="false" outlineLevel="0" collapsed="false">
      <c r="A61" s="2" t="s">
        <v>174</v>
      </c>
      <c r="B61" s="2" t="s">
        <v>89</v>
      </c>
      <c r="C61" s="16" t="n">
        <v>6</v>
      </c>
      <c r="D61" s="16" t="n">
        <v>6</v>
      </c>
      <c r="E61" s="16" t="n">
        <v>6</v>
      </c>
      <c r="F61" s="16" t="n">
        <v>6</v>
      </c>
      <c r="G61" s="2" t="s">
        <v>175</v>
      </c>
    </row>
    <row r="62" customFormat="false" ht="15" hidden="false" customHeight="false" outlineLevel="0" collapsed="false">
      <c r="A62" s="2" t="s">
        <v>176</v>
      </c>
      <c r="B62" s="4" t="s">
        <v>79</v>
      </c>
      <c r="C62" s="11" t="n">
        <f aca="false">IF(C56=0,0,PMT(C57/12,C58,-C56))</f>
        <v>2698.69993551094</v>
      </c>
      <c r="D62" s="11" t="n">
        <f aca="false">IF(D56=0,0,PMT(D57/12,D58,-D56))</f>
        <v>2698.69993551094</v>
      </c>
      <c r="E62" s="11" t="n">
        <f aca="false">IF(E56=0,0,PMT(E57/12,E58,-E56))</f>
        <v>2698.69993551094</v>
      </c>
      <c r="F62" s="11" t="n">
        <f aca="false">IF(F56=0,0,PMT(F57/12,F58,-F56))</f>
        <v>2698.69993551094</v>
      </c>
      <c r="G62" s="4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"/>
    <col collapsed="false" customWidth="true" hidden="false" outlineLevel="0" max="38" min="3" style="0" width="9"/>
  </cols>
  <sheetData>
    <row r="1" customFormat="false" ht="17.35" hidden="false" customHeight="false" outlineLevel="0" collapsed="false">
      <c r="A1" s="1" t="s">
        <v>178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customFormat="false" ht="15" hidden="false" customHeight="false" outlineLevel="0" collapsed="false">
      <c r="A2" s="5" t="s">
        <v>179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customFormat="false" ht="15" hidden="false" customHeight="false" outlineLevel="0" collapsed="false">
      <c r="A4" s="6" t="s">
        <v>180</v>
      </c>
      <c r="B4" s="6" t="s">
        <v>181</v>
      </c>
      <c r="C4" s="6" t="n">
        <v>1</v>
      </c>
      <c r="D4" s="6" t="n">
        <v>2</v>
      </c>
      <c r="E4" s="6" t="n">
        <v>3</v>
      </c>
      <c r="F4" s="6" t="n">
        <v>4</v>
      </c>
      <c r="G4" s="6" t="n">
        <v>5</v>
      </c>
      <c r="H4" s="6" t="n">
        <v>6</v>
      </c>
      <c r="I4" s="6" t="n">
        <v>7</v>
      </c>
      <c r="J4" s="6" t="n">
        <v>8</v>
      </c>
      <c r="K4" s="6" t="n">
        <v>9</v>
      </c>
      <c r="L4" s="6" t="n">
        <v>10</v>
      </c>
      <c r="M4" s="6" t="n">
        <v>11</v>
      </c>
      <c r="N4" s="6" t="n">
        <v>12</v>
      </c>
      <c r="O4" s="6" t="n">
        <v>13</v>
      </c>
      <c r="P4" s="6" t="n">
        <v>14</v>
      </c>
      <c r="Q4" s="6" t="n">
        <v>15</v>
      </c>
      <c r="R4" s="6" t="n">
        <v>16</v>
      </c>
      <c r="S4" s="6" t="n">
        <v>17</v>
      </c>
      <c r="T4" s="6" t="n">
        <v>18</v>
      </c>
      <c r="U4" s="6" t="n">
        <v>19</v>
      </c>
      <c r="V4" s="6" t="n">
        <v>20</v>
      </c>
      <c r="W4" s="6" t="n">
        <v>21</v>
      </c>
      <c r="X4" s="6" t="n">
        <v>22</v>
      </c>
      <c r="Y4" s="6" t="n">
        <v>23</v>
      </c>
      <c r="Z4" s="6" t="n">
        <v>24</v>
      </c>
      <c r="AA4" s="6" t="n">
        <v>25</v>
      </c>
      <c r="AB4" s="6" t="n">
        <v>26</v>
      </c>
      <c r="AC4" s="6" t="n">
        <v>27</v>
      </c>
      <c r="AD4" s="6" t="n">
        <v>28</v>
      </c>
      <c r="AE4" s="6" t="n">
        <v>29</v>
      </c>
      <c r="AF4" s="6" t="n">
        <v>30</v>
      </c>
      <c r="AG4" s="6" t="n">
        <v>31</v>
      </c>
      <c r="AH4" s="6" t="n">
        <v>32</v>
      </c>
      <c r="AI4" s="6" t="n">
        <v>33</v>
      </c>
      <c r="AJ4" s="6" t="n">
        <v>34</v>
      </c>
      <c r="AK4" s="6" t="n">
        <v>35</v>
      </c>
      <c r="AL4" s="6" t="n">
        <v>36</v>
      </c>
    </row>
    <row r="5" customFormat="false" ht="15" hidden="false" customHeight="false" outlineLevel="0" collapsed="false">
      <c r="A5" s="14" t="s">
        <v>26</v>
      </c>
      <c r="B5" s="15"/>
      <c r="C5" s="20" t="s">
        <v>182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</row>
    <row r="6" customFormat="false" ht="15" hidden="false" customHeight="false" outlineLevel="0" collapsed="false">
      <c r="A6" s="2" t="s">
        <v>183</v>
      </c>
      <c r="B6" s="21" t="n">
        <f aca="false">SUM(C6:AL6)</f>
        <v>19</v>
      </c>
      <c r="C6" s="16" t="n">
        <v>0</v>
      </c>
      <c r="D6" s="16" t="n">
        <v>0</v>
      </c>
      <c r="E6" s="16" t="n">
        <v>1</v>
      </c>
      <c r="F6" s="16" t="n">
        <v>0</v>
      </c>
      <c r="G6" s="16" t="n">
        <v>0</v>
      </c>
      <c r="H6" s="16" t="n">
        <v>1</v>
      </c>
      <c r="I6" s="16" t="n">
        <v>0</v>
      </c>
      <c r="J6" s="16" t="n">
        <v>0</v>
      </c>
      <c r="K6" s="16" t="n">
        <v>1</v>
      </c>
      <c r="L6" s="16" t="n">
        <v>0</v>
      </c>
      <c r="M6" s="16" t="n">
        <v>0</v>
      </c>
      <c r="N6" s="16" t="n">
        <v>0</v>
      </c>
      <c r="O6" s="16" t="n">
        <v>1</v>
      </c>
      <c r="P6" s="16" t="n">
        <v>0</v>
      </c>
      <c r="Q6" s="16" t="n">
        <v>1</v>
      </c>
      <c r="R6" s="16" t="n">
        <v>0</v>
      </c>
      <c r="S6" s="16" t="n">
        <v>1</v>
      </c>
      <c r="T6" s="16" t="n">
        <v>0</v>
      </c>
      <c r="U6" s="16" t="n">
        <v>1</v>
      </c>
      <c r="V6" s="16" t="n">
        <v>1</v>
      </c>
      <c r="W6" s="16" t="n">
        <v>0</v>
      </c>
      <c r="X6" s="16" t="n">
        <v>1</v>
      </c>
      <c r="Y6" s="16" t="n">
        <v>1</v>
      </c>
      <c r="Z6" s="16" t="n">
        <v>0</v>
      </c>
      <c r="AA6" s="16" t="n">
        <v>1</v>
      </c>
      <c r="AB6" s="16" t="n">
        <v>1</v>
      </c>
      <c r="AC6" s="16" t="n">
        <v>0</v>
      </c>
      <c r="AD6" s="16" t="n">
        <v>1</v>
      </c>
      <c r="AE6" s="16" t="n">
        <v>1</v>
      </c>
      <c r="AF6" s="16" t="n">
        <v>1</v>
      </c>
      <c r="AG6" s="16" t="n">
        <v>0</v>
      </c>
      <c r="AH6" s="16" t="n">
        <v>1</v>
      </c>
      <c r="AI6" s="16" t="n">
        <v>1</v>
      </c>
      <c r="AJ6" s="16" t="n">
        <v>1</v>
      </c>
      <c r="AK6" s="16" t="n">
        <v>1</v>
      </c>
      <c r="AL6" s="16" t="n">
        <v>0</v>
      </c>
    </row>
    <row r="7" customFormat="false" ht="15" hidden="false" customHeight="false" outlineLevel="0" collapsed="false">
      <c r="A7" s="2" t="s">
        <v>184</v>
      </c>
      <c r="B7" s="21" t="n">
        <f aca="false">SUM(C7:AL7)</f>
        <v>0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0</v>
      </c>
      <c r="T7" s="16" t="n">
        <v>0</v>
      </c>
      <c r="U7" s="16" t="n">
        <v>0</v>
      </c>
      <c r="V7" s="16" t="n">
        <v>0</v>
      </c>
      <c r="W7" s="16" t="n">
        <v>0</v>
      </c>
      <c r="X7" s="16" t="n">
        <v>0</v>
      </c>
      <c r="Y7" s="16" t="n">
        <v>0</v>
      </c>
      <c r="Z7" s="16" t="n">
        <v>0</v>
      </c>
      <c r="AA7" s="16" t="n">
        <v>0</v>
      </c>
      <c r="AB7" s="16" t="n">
        <v>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0</v>
      </c>
      <c r="AJ7" s="16" t="n">
        <v>0</v>
      </c>
      <c r="AK7" s="16" t="n">
        <v>0</v>
      </c>
      <c r="AL7" s="16" t="n">
        <v>0</v>
      </c>
    </row>
    <row r="8" customFormat="false" ht="15" hidden="false" customHeight="false" outlineLevel="0" collapsed="false">
      <c r="A8" s="2" t="s">
        <v>185</v>
      </c>
      <c r="B8" s="11" t="n">
        <f aca="false">SUM(C8:AL8)</f>
        <v>201138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7691.5</v>
      </c>
      <c r="P8" s="10" t="n">
        <v>7691.5</v>
      </c>
      <c r="Q8" s="10" t="n">
        <v>7691.5</v>
      </c>
      <c r="R8" s="10" t="n">
        <v>7691.5</v>
      </c>
      <c r="S8" s="10" t="n">
        <v>7691.5</v>
      </c>
      <c r="T8" s="10" t="n">
        <v>7691.5</v>
      </c>
      <c r="U8" s="10" t="n">
        <v>7691.5</v>
      </c>
      <c r="V8" s="10" t="n">
        <v>7691.5</v>
      </c>
      <c r="W8" s="10" t="n">
        <v>7691.5</v>
      </c>
      <c r="X8" s="10" t="n">
        <v>7691.5</v>
      </c>
      <c r="Y8" s="10" t="n">
        <v>7691.5</v>
      </c>
      <c r="Z8" s="10" t="n">
        <v>7691.5</v>
      </c>
      <c r="AA8" s="10" t="n">
        <v>9070</v>
      </c>
      <c r="AB8" s="10" t="n">
        <v>9070</v>
      </c>
      <c r="AC8" s="10" t="n">
        <v>9070</v>
      </c>
      <c r="AD8" s="10" t="n">
        <v>9070</v>
      </c>
      <c r="AE8" s="10" t="n">
        <v>9070</v>
      </c>
      <c r="AF8" s="10" t="n">
        <v>9070</v>
      </c>
      <c r="AG8" s="10" t="n">
        <v>9070</v>
      </c>
      <c r="AH8" s="10" t="n">
        <v>9070</v>
      </c>
      <c r="AI8" s="10" t="n">
        <v>9070</v>
      </c>
      <c r="AJ8" s="10" t="n">
        <v>9070</v>
      </c>
      <c r="AK8" s="10" t="n">
        <v>9070</v>
      </c>
      <c r="AL8" s="10" t="n">
        <v>9070</v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customFormat="false" ht="15" hidden="false" customHeight="false" outlineLevel="0" collapsed="false">
      <c r="A10" s="14" t="s">
        <v>27</v>
      </c>
      <c r="B10" s="15"/>
      <c r="C10" s="20" t="s">
        <v>186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</row>
    <row r="11" customFormat="false" ht="15" hidden="false" customHeight="false" outlineLevel="0" collapsed="false">
      <c r="A11" s="2" t="s">
        <v>183</v>
      </c>
      <c r="B11" s="21" t="n">
        <f aca="false">SUM(C11:AL11)</f>
        <v>13</v>
      </c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1</v>
      </c>
      <c r="J11" s="16" t="n">
        <v>0</v>
      </c>
      <c r="K11" s="16" t="n">
        <v>0</v>
      </c>
      <c r="L11" s="16" t="n">
        <v>1</v>
      </c>
      <c r="M11" s="16" t="n">
        <v>0</v>
      </c>
      <c r="N11" s="16" t="n">
        <v>0</v>
      </c>
      <c r="O11" s="16" t="n">
        <v>1</v>
      </c>
      <c r="P11" s="16" t="n">
        <v>0</v>
      </c>
      <c r="Q11" s="16" t="n">
        <v>0</v>
      </c>
      <c r="R11" s="16" t="n">
        <v>0</v>
      </c>
      <c r="S11" s="16" t="n">
        <v>1</v>
      </c>
      <c r="T11" s="16" t="n">
        <v>0</v>
      </c>
      <c r="U11" s="16" t="n">
        <v>0</v>
      </c>
      <c r="V11" s="16" t="n">
        <v>1</v>
      </c>
      <c r="W11" s="16" t="n">
        <v>0</v>
      </c>
      <c r="X11" s="16" t="n">
        <v>1</v>
      </c>
      <c r="Y11" s="16" t="n">
        <v>0</v>
      </c>
      <c r="Z11" s="16" t="n">
        <v>1</v>
      </c>
      <c r="AA11" s="16" t="n">
        <v>1</v>
      </c>
      <c r="AB11" s="16" t="n">
        <v>0</v>
      </c>
      <c r="AC11" s="16" t="n">
        <v>0</v>
      </c>
      <c r="AD11" s="16" t="n">
        <v>1</v>
      </c>
      <c r="AE11" s="16" t="n">
        <v>0</v>
      </c>
      <c r="AF11" s="16" t="n">
        <v>0</v>
      </c>
      <c r="AG11" s="16" t="n">
        <v>1</v>
      </c>
      <c r="AH11" s="16" t="n">
        <v>0</v>
      </c>
      <c r="AI11" s="16" t="n">
        <v>1</v>
      </c>
      <c r="AJ11" s="16" t="n">
        <v>1</v>
      </c>
      <c r="AK11" s="16" t="n">
        <v>0</v>
      </c>
      <c r="AL11" s="16" t="n">
        <v>1</v>
      </c>
    </row>
    <row r="12" customFormat="false" ht="15" hidden="false" customHeight="false" outlineLevel="0" collapsed="false">
      <c r="A12" s="2" t="s">
        <v>184</v>
      </c>
      <c r="B12" s="21" t="n">
        <f aca="false">SUM(C12:AL12)</f>
        <v>12</v>
      </c>
      <c r="C12" s="16" t="n">
        <v>0</v>
      </c>
      <c r="D12" s="16" t="n">
        <v>0</v>
      </c>
      <c r="E12" s="16" t="n">
        <v>1</v>
      </c>
      <c r="F12" s="16" t="n">
        <v>0</v>
      </c>
      <c r="G12" s="16" t="n">
        <v>0</v>
      </c>
      <c r="H12" s="16" t="n">
        <v>1</v>
      </c>
      <c r="I12" s="16" t="n">
        <v>0</v>
      </c>
      <c r="J12" s="16" t="n">
        <v>0</v>
      </c>
      <c r="K12" s="16" t="n">
        <v>1</v>
      </c>
      <c r="L12" s="16" t="n">
        <v>0</v>
      </c>
      <c r="M12" s="16" t="n">
        <v>1</v>
      </c>
      <c r="N12" s="16" t="n">
        <v>0</v>
      </c>
      <c r="O12" s="16" t="n">
        <v>0</v>
      </c>
      <c r="P12" s="16" t="n">
        <v>1</v>
      </c>
      <c r="Q12" s="16" t="n">
        <v>0</v>
      </c>
      <c r="R12" s="16" t="n">
        <v>1</v>
      </c>
      <c r="S12" s="16" t="n">
        <v>0</v>
      </c>
      <c r="T12" s="16" t="n">
        <v>1</v>
      </c>
      <c r="U12" s="16" t="n">
        <v>0</v>
      </c>
      <c r="V12" s="16" t="n">
        <v>1</v>
      </c>
      <c r="W12" s="16" t="n">
        <v>0</v>
      </c>
      <c r="X12" s="16" t="n">
        <v>1</v>
      </c>
      <c r="Y12" s="16" t="n">
        <v>0</v>
      </c>
      <c r="Z12" s="16" t="n">
        <v>0</v>
      </c>
      <c r="AA12" s="16" t="n">
        <v>0</v>
      </c>
      <c r="AB12" s="16" t="n">
        <v>1</v>
      </c>
      <c r="AC12" s="16" t="n">
        <v>0</v>
      </c>
      <c r="AD12" s="16" t="n">
        <v>0</v>
      </c>
      <c r="AE12" s="16" t="n">
        <v>0</v>
      </c>
      <c r="AF12" s="16" t="n">
        <v>1</v>
      </c>
      <c r="AG12" s="16" t="n">
        <v>0</v>
      </c>
      <c r="AH12" s="16" t="n">
        <v>0</v>
      </c>
      <c r="AI12" s="16" t="n">
        <v>0</v>
      </c>
      <c r="AJ12" s="16" t="n">
        <v>1</v>
      </c>
      <c r="AK12" s="16" t="n">
        <v>0</v>
      </c>
      <c r="AL12" s="16" t="n">
        <v>0</v>
      </c>
    </row>
    <row r="13" customFormat="false" ht="15" hidden="false" customHeight="false" outlineLevel="0" collapsed="false">
      <c r="A13" s="2" t="s">
        <v>185</v>
      </c>
      <c r="B13" s="11" t="n">
        <f aca="false">SUM(C13:AL13)</f>
        <v>35000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15000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20000</v>
      </c>
      <c r="AG13" s="10" t="n">
        <v>0</v>
      </c>
      <c r="AH13" s="10" t="n">
        <v>0</v>
      </c>
      <c r="AI13" s="10" t="n">
        <v>0</v>
      </c>
      <c r="AJ13" s="10" t="n">
        <v>0</v>
      </c>
      <c r="AK13" s="10" t="n">
        <v>0</v>
      </c>
      <c r="AL13" s="10" t="n">
        <v>0</v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customFormat="false" ht="15" hidden="false" customHeight="false" outlineLevel="0" collapsed="false">
      <c r="A15" s="14" t="s">
        <v>28</v>
      </c>
      <c r="B15" s="15"/>
      <c r="C15" s="20" t="s">
        <v>187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</row>
    <row r="16" customFormat="false" ht="15" hidden="false" customHeight="false" outlineLevel="0" collapsed="false">
      <c r="A16" s="2" t="s">
        <v>183</v>
      </c>
      <c r="B16" s="21" t="n">
        <f aca="false">SUM(C16:AL16)</f>
        <v>19</v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1</v>
      </c>
      <c r="I16" s="16" t="n">
        <v>0</v>
      </c>
      <c r="J16" s="16" t="n">
        <v>1</v>
      </c>
      <c r="K16" s="16" t="n">
        <v>0</v>
      </c>
      <c r="L16" s="16" t="n">
        <v>1</v>
      </c>
      <c r="M16" s="16" t="n">
        <v>0</v>
      </c>
      <c r="N16" s="16" t="n">
        <v>0</v>
      </c>
      <c r="O16" s="16" t="n">
        <v>1</v>
      </c>
      <c r="P16" s="16" t="n">
        <v>1</v>
      </c>
      <c r="Q16" s="16" t="n">
        <v>0</v>
      </c>
      <c r="R16" s="16" t="n">
        <v>1</v>
      </c>
      <c r="S16" s="16" t="n">
        <v>0</v>
      </c>
      <c r="T16" s="16" t="n">
        <v>1</v>
      </c>
      <c r="U16" s="16" t="n">
        <v>0</v>
      </c>
      <c r="V16" s="16" t="n">
        <v>1</v>
      </c>
      <c r="W16" s="16" t="n">
        <v>1</v>
      </c>
      <c r="X16" s="16" t="n">
        <v>0</v>
      </c>
      <c r="Y16" s="16" t="n">
        <v>1</v>
      </c>
      <c r="Z16" s="16" t="n">
        <v>0</v>
      </c>
      <c r="AA16" s="16" t="n">
        <v>1</v>
      </c>
      <c r="AB16" s="16" t="n">
        <v>1</v>
      </c>
      <c r="AC16" s="16" t="n">
        <v>0</v>
      </c>
      <c r="AD16" s="16" t="n">
        <v>1</v>
      </c>
      <c r="AE16" s="16" t="n">
        <v>0</v>
      </c>
      <c r="AF16" s="16" t="n">
        <v>1</v>
      </c>
      <c r="AG16" s="16" t="n">
        <v>1</v>
      </c>
      <c r="AH16" s="16" t="n">
        <v>1</v>
      </c>
      <c r="AI16" s="16" t="n">
        <v>1</v>
      </c>
      <c r="AJ16" s="16" t="n">
        <v>1</v>
      </c>
      <c r="AK16" s="16" t="n">
        <v>1</v>
      </c>
      <c r="AL16" s="16" t="n">
        <v>0</v>
      </c>
    </row>
    <row r="17" customFormat="false" ht="15" hidden="false" customHeight="false" outlineLevel="0" collapsed="false">
      <c r="A17" s="2" t="s">
        <v>184</v>
      </c>
      <c r="B17" s="21" t="n">
        <f aca="false">SUM(C17:AL17)</f>
        <v>18</v>
      </c>
      <c r="C17" s="16" t="n">
        <v>0</v>
      </c>
      <c r="D17" s="16" t="n">
        <v>1</v>
      </c>
      <c r="E17" s="16" t="n">
        <v>1</v>
      </c>
      <c r="F17" s="16" t="n">
        <v>0</v>
      </c>
      <c r="G17" s="16" t="n">
        <v>1</v>
      </c>
      <c r="H17" s="16" t="n">
        <v>0</v>
      </c>
      <c r="I17" s="16" t="n">
        <v>1</v>
      </c>
      <c r="J17" s="16" t="n">
        <v>0</v>
      </c>
      <c r="K17" s="16" t="n">
        <v>1</v>
      </c>
      <c r="L17" s="16" t="n">
        <v>0</v>
      </c>
      <c r="M17" s="16" t="n">
        <v>1</v>
      </c>
      <c r="N17" s="16" t="n">
        <v>0</v>
      </c>
      <c r="O17" s="16" t="n">
        <v>1</v>
      </c>
      <c r="P17" s="16" t="n">
        <v>1</v>
      </c>
      <c r="Q17" s="16" t="n">
        <v>1</v>
      </c>
      <c r="R17" s="16" t="n">
        <v>1</v>
      </c>
      <c r="S17" s="16" t="n">
        <v>1</v>
      </c>
      <c r="T17" s="16" t="n">
        <v>0</v>
      </c>
      <c r="U17" s="16" t="n">
        <v>1</v>
      </c>
      <c r="V17" s="16" t="n">
        <v>0</v>
      </c>
      <c r="W17" s="16" t="n">
        <v>1</v>
      </c>
      <c r="X17" s="16" t="n">
        <v>0</v>
      </c>
      <c r="Y17" s="16" t="n">
        <v>1</v>
      </c>
      <c r="Z17" s="16" t="n">
        <v>0</v>
      </c>
      <c r="AA17" s="16" t="n">
        <v>1</v>
      </c>
      <c r="AB17" s="16" t="n">
        <v>0</v>
      </c>
      <c r="AC17" s="16" t="n">
        <v>1</v>
      </c>
      <c r="AD17" s="16" t="n">
        <v>0</v>
      </c>
      <c r="AE17" s="16" t="n">
        <v>1</v>
      </c>
      <c r="AF17" s="16" t="n">
        <v>0</v>
      </c>
      <c r="AG17" s="16" t="n">
        <v>1</v>
      </c>
      <c r="AH17" s="16" t="n">
        <v>0</v>
      </c>
      <c r="AI17" s="16" t="n">
        <v>0</v>
      </c>
      <c r="AJ17" s="16" t="n">
        <v>0</v>
      </c>
      <c r="AK17" s="16" t="n">
        <v>0</v>
      </c>
      <c r="AL17" s="16" t="n">
        <v>0</v>
      </c>
    </row>
    <row r="18" customFormat="false" ht="15" hidden="false" customHeight="false" outlineLevel="0" collapsed="false">
      <c r="A18" s="2" t="s">
        <v>185</v>
      </c>
      <c r="B18" s="11" t="n">
        <f aca="false">SUM(C18:AL18)</f>
        <v>69000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5000</v>
      </c>
      <c r="I18" s="10" t="n">
        <v>0</v>
      </c>
      <c r="J18" s="10" t="n">
        <v>4000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20000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0</v>
      </c>
      <c r="AA18" s="10" t="n">
        <v>0</v>
      </c>
      <c r="AB18" s="10" t="n">
        <v>0</v>
      </c>
      <c r="AC18" s="10" t="n">
        <v>0</v>
      </c>
      <c r="AD18" s="10" t="n">
        <v>20000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20000</v>
      </c>
      <c r="AJ18" s="10" t="n">
        <v>0</v>
      </c>
      <c r="AK18" s="10" t="n">
        <v>0</v>
      </c>
      <c r="AL18" s="10" t="n">
        <v>0</v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customFormat="false" ht="15" hidden="false" customHeight="false" outlineLevel="0" collapsed="false">
      <c r="A20" s="14" t="s">
        <v>29</v>
      </c>
      <c r="B20" s="15"/>
      <c r="C20" s="20" t="s">
        <v>188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 customFormat="false" ht="15" hidden="false" customHeight="false" outlineLevel="0" collapsed="false">
      <c r="A21" s="2" t="s">
        <v>183</v>
      </c>
      <c r="B21" s="21" t="n">
        <f aca="false">SUM(C21:AL21)</f>
        <v>24</v>
      </c>
      <c r="C21" s="16" t="n">
        <v>0</v>
      </c>
      <c r="D21" s="16" t="n">
        <v>0</v>
      </c>
      <c r="E21" s="16" t="n">
        <v>0</v>
      </c>
      <c r="F21" s="16" t="n">
        <v>0</v>
      </c>
      <c r="G21" s="16" t="n">
        <v>1</v>
      </c>
      <c r="H21" s="16" t="n">
        <v>0</v>
      </c>
      <c r="I21" s="16" t="n">
        <v>0</v>
      </c>
      <c r="J21" s="16" t="n">
        <v>1</v>
      </c>
      <c r="K21" s="16" t="n">
        <v>1</v>
      </c>
      <c r="L21" s="16" t="n">
        <v>1</v>
      </c>
      <c r="M21" s="16" t="n">
        <v>0</v>
      </c>
      <c r="N21" s="16" t="n">
        <v>0</v>
      </c>
      <c r="O21" s="16" t="n">
        <v>1</v>
      </c>
      <c r="P21" s="16" t="n">
        <v>1</v>
      </c>
      <c r="Q21" s="16" t="n">
        <v>1</v>
      </c>
      <c r="R21" s="16" t="n">
        <v>0</v>
      </c>
      <c r="S21" s="16" t="n">
        <v>1</v>
      </c>
      <c r="T21" s="16" t="n">
        <v>0</v>
      </c>
      <c r="U21" s="16" t="n">
        <v>1</v>
      </c>
      <c r="V21" s="16" t="n">
        <v>1</v>
      </c>
      <c r="W21" s="16" t="n">
        <v>1</v>
      </c>
      <c r="X21" s="16" t="n">
        <v>1</v>
      </c>
      <c r="Y21" s="16" t="n">
        <v>1</v>
      </c>
      <c r="Z21" s="16" t="n">
        <v>0</v>
      </c>
      <c r="AA21" s="16" t="n">
        <v>1</v>
      </c>
      <c r="AB21" s="16" t="n">
        <v>1</v>
      </c>
      <c r="AC21" s="16" t="n">
        <v>1</v>
      </c>
      <c r="AD21" s="16" t="n">
        <v>1</v>
      </c>
      <c r="AE21" s="16" t="n">
        <v>1</v>
      </c>
      <c r="AF21" s="16" t="n">
        <v>0</v>
      </c>
      <c r="AG21" s="16" t="n">
        <v>1</v>
      </c>
      <c r="AH21" s="16" t="n">
        <v>1</v>
      </c>
      <c r="AI21" s="16" t="n">
        <v>1</v>
      </c>
      <c r="AJ21" s="16" t="n">
        <v>1</v>
      </c>
      <c r="AK21" s="16" t="n">
        <v>1</v>
      </c>
      <c r="AL21" s="16" t="n">
        <v>1</v>
      </c>
    </row>
    <row r="22" customFormat="false" ht="15" hidden="false" customHeight="false" outlineLevel="0" collapsed="false">
      <c r="A22" s="2" t="s">
        <v>184</v>
      </c>
      <c r="B22" s="21" t="n">
        <f aca="false">SUM(C22:AL22)</f>
        <v>24</v>
      </c>
      <c r="C22" s="16" t="n">
        <v>0</v>
      </c>
      <c r="D22" s="16" t="n">
        <v>1</v>
      </c>
      <c r="E22" s="16" t="n">
        <v>1</v>
      </c>
      <c r="F22" s="16" t="n">
        <v>1</v>
      </c>
      <c r="G22" s="16" t="n">
        <v>1</v>
      </c>
      <c r="H22" s="16" t="n">
        <v>0</v>
      </c>
      <c r="I22" s="16" t="n">
        <v>1</v>
      </c>
      <c r="J22" s="16" t="n">
        <v>1</v>
      </c>
      <c r="K22" s="16" t="n">
        <v>1</v>
      </c>
      <c r="L22" s="16" t="n">
        <v>0</v>
      </c>
      <c r="M22" s="16" t="n">
        <v>1</v>
      </c>
      <c r="N22" s="16" t="n">
        <v>0</v>
      </c>
      <c r="O22" s="16" t="n">
        <v>1</v>
      </c>
      <c r="P22" s="16" t="n">
        <v>1</v>
      </c>
      <c r="Q22" s="16" t="n">
        <v>1</v>
      </c>
      <c r="R22" s="16" t="n">
        <v>1</v>
      </c>
      <c r="S22" s="16" t="n">
        <v>1</v>
      </c>
      <c r="T22" s="16" t="n">
        <v>1</v>
      </c>
      <c r="U22" s="16" t="n">
        <v>1</v>
      </c>
      <c r="V22" s="16" t="n">
        <v>1</v>
      </c>
      <c r="W22" s="16" t="n">
        <v>1</v>
      </c>
      <c r="X22" s="16" t="n">
        <v>1</v>
      </c>
      <c r="Y22" s="16" t="n">
        <v>0</v>
      </c>
      <c r="Z22" s="16" t="n">
        <v>0</v>
      </c>
      <c r="AA22" s="16" t="n">
        <v>1</v>
      </c>
      <c r="AB22" s="16" t="n">
        <v>0</v>
      </c>
      <c r="AC22" s="16" t="n">
        <v>1</v>
      </c>
      <c r="AD22" s="16" t="n">
        <v>0</v>
      </c>
      <c r="AE22" s="16" t="n">
        <v>1</v>
      </c>
      <c r="AF22" s="16" t="n">
        <v>0</v>
      </c>
      <c r="AG22" s="16" t="n">
        <v>1</v>
      </c>
      <c r="AH22" s="16" t="n">
        <v>0</v>
      </c>
      <c r="AI22" s="16" t="n">
        <v>1</v>
      </c>
      <c r="AJ22" s="16" t="n">
        <v>0</v>
      </c>
      <c r="AK22" s="16" t="n">
        <v>1</v>
      </c>
      <c r="AL22" s="16" t="n">
        <v>0</v>
      </c>
    </row>
    <row r="23" customFormat="false" ht="15" hidden="false" customHeight="false" outlineLevel="0" collapsed="false">
      <c r="A23" s="2" t="s">
        <v>185</v>
      </c>
      <c r="B23" s="11" t="n">
        <f aca="false">SUM(C23:AL23)</f>
        <v>204000</v>
      </c>
      <c r="C23" s="10" t="n">
        <v>0</v>
      </c>
      <c r="D23" s="10" t="n">
        <v>0</v>
      </c>
      <c r="E23" s="10" t="n">
        <v>0</v>
      </c>
      <c r="F23" s="10" t="n">
        <v>0</v>
      </c>
      <c r="G23" s="10" t="n">
        <v>0</v>
      </c>
      <c r="H23" s="10" t="n">
        <v>5000</v>
      </c>
      <c r="I23" s="10" t="n">
        <v>0</v>
      </c>
      <c r="J23" s="10" t="n">
        <v>4000</v>
      </c>
      <c r="K23" s="10" t="n">
        <v>0</v>
      </c>
      <c r="L23" s="10" t="n">
        <v>20000</v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25000</v>
      </c>
      <c r="S23" s="10" t="n">
        <v>0</v>
      </c>
      <c r="T23" s="10" t="n">
        <v>0</v>
      </c>
      <c r="U23" s="10" t="n">
        <v>20000</v>
      </c>
      <c r="V23" s="10" t="n">
        <v>0</v>
      </c>
      <c r="W23" s="10" t="n">
        <v>0</v>
      </c>
      <c r="X23" s="10" t="n">
        <v>30000</v>
      </c>
      <c r="Y23" s="10" t="n">
        <v>0</v>
      </c>
      <c r="Z23" s="10" t="n">
        <v>0</v>
      </c>
      <c r="AA23" s="10" t="n">
        <v>0</v>
      </c>
      <c r="AB23" s="10" t="n">
        <v>0</v>
      </c>
      <c r="AC23" s="10" t="n">
        <v>30000</v>
      </c>
      <c r="AD23" s="10" t="n">
        <v>0</v>
      </c>
      <c r="AE23" s="10" t="n">
        <v>0</v>
      </c>
      <c r="AF23" s="10" t="n">
        <v>40000</v>
      </c>
      <c r="AG23" s="10" t="n">
        <v>0</v>
      </c>
      <c r="AH23" s="10" t="n">
        <v>0</v>
      </c>
      <c r="AI23" s="10" t="n">
        <v>30000</v>
      </c>
      <c r="AJ23" s="10" t="n">
        <v>0</v>
      </c>
      <c r="AK23" s="10" t="n">
        <v>0</v>
      </c>
      <c r="AL23" s="1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38" min="3" style="0" width="11"/>
  </cols>
  <sheetData>
    <row r="1" customFormat="false" ht="17.35" hidden="false" customHeight="false" outlineLevel="0" collapsed="false">
      <c r="A1" s="1" t="s">
        <v>189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customFormat="false" ht="15" hidden="false" customHeight="false" outlineLevel="0" collapsed="false">
      <c r="A2" s="3" t="s">
        <v>190</v>
      </c>
      <c r="B2" s="4"/>
      <c r="C2" s="22" t="n">
        <v>1</v>
      </c>
      <c r="D2" s="22" t="n">
        <v>2</v>
      </c>
      <c r="E2" s="22" t="n">
        <v>3</v>
      </c>
      <c r="F2" s="22" t="n">
        <v>4</v>
      </c>
      <c r="G2" s="22" t="n">
        <v>5</v>
      </c>
      <c r="H2" s="22" t="n">
        <v>6</v>
      </c>
      <c r="I2" s="22" t="n">
        <v>7</v>
      </c>
      <c r="J2" s="22" t="n">
        <v>8</v>
      </c>
      <c r="K2" s="22" t="n">
        <v>9</v>
      </c>
      <c r="L2" s="22" t="n">
        <v>10</v>
      </c>
      <c r="M2" s="22" t="n">
        <v>11</v>
      </c>
      <c r="N2" s="22" t="n">
        <v>12</v>
      </c>
      <c r="O2" s="22" t="n">
        <v>13</v>
      </c>
      <c r="P2" s="22" t="n">
        <v>14</v>
      </c>
      <c r="Q2" s="22" t="n">
        <v>15</v>
      </c>
      <c r="R2" s="22" t="n">
        <v>16</v>
      </c>
      <c r="S2" s="22" t="n">
        <v>17</v>
      </c>
      <c r="T2" s="22" t="n">
        <v>18</v>
      </c>
      <c r="U2" s="22" t="n">
        <v>19</v>
      </c>
      <c r="V2" s="22" t="n">
        <v>20</v>
      </c>
      <c r="W2" s="22" t="n">
        <v>21</v>
      </c>
      <c r="X2" s="22" t="n">
        <v>22</v>
      </c>
      <c r="Y2" s="22" t="n">
        <v>23</v>
      </c>
      <c r="Z2" s="22" t="n">
        <v>24</v>
      </c>
      <c r="AA2" s="22" t="n">
        <v>25</v>
      </c>
      <c r="AB2" s="22" t="n">
        <v>26</v>
      </c>
      <c r="AC2" s="22" t="n">
        <v>27</v>
      </c>
      <c r="AD2" s="22" t="n">
        <v>28</v>
      </c>
      <c r="AE2" s="22" t="n">
        <v>29</v>
      </c>
      <c r="AF2" s="22" t="n">
        <v>30</v>
      </c>
      <c r="AG2" s="22" t="n">
        <v>31</v>
      </c>
      <c r="AH2" s="22" t="n">
        <v>32</v>
      </c>
      <c r="AI2" s="22" t="n">
        <v>33</v>
      </c>
      <c r="AJ2" s="22" t="n">
        <v>34</v>
      </c>
      <c r="AK2" s="22" t="n">
        <v>35</v>
      </c>
      <c r="AL2" s="22" t="n">
        <v>36</v>
      </c>
    </row>
    <row r="3" customFormat="false" ht="15" hidden="false" customHeight="false" outlineLevel="0" collapsed="false">
      <c r="A3" s="3" t="s">
        <v>191</v>
      </c>
      <c r="B3" s="4"/>
      <c r="C3" s="2" t="n">
        <f aca="false">ROUNDUP(C2/12,0)</f>
        <v>1</v>
      </c>
      <c r="D3" s="2" t="n">
        <f aca="false">ROUNDUP(D2/12,0)</f>
        <v>1</v>
      </c>
      <c r="E3" s="2" t="n">
        <f aca="false">ROUNDUP(E2/12,0)</f>
        <v>1</v>
      </c>
      <c r="F3" s="2" t="n">
        <f aca="false">ROUNDUP(F2/12,0)</f>
        <v>1</v>
      </c>
      <c r="G3" s="2" t="n">
        <f aca="false">ROUNDUP(G2/12,0)</f>
        <v>1</v>
      </c>
      <c r="H3" s="2" t="n">
        <f aca="false">ROUNDUP(H2/12,0)</f>
        <v>1</v>
      </c>
      <c r="I3" s="2" t="n">
        <f aca="false">ROUNDUP(I2/12,0)</f>
        <v>1</v>
      </c>
      <c r="J3" s="2" t="n">
        <f aca="false">ROUNDUP(J2/12,0)</f>
        <v>1</v>
      </c>
      <c r="K3" s="2" t="n">
        <f aca="false">ROUNDUP(K2/12,0)</f>
        <v>1</v>
      </c>
      <c r="L3" s="2" t="n">
        <f aca="false">ROUNDUP(L2/12,0)</f>
        <v>1</v>
      </c>
      <c r="M3" s="2" t="n">
        <f aca="false">ROUNDUP(M2/12,0)</f>
        <v>1</v>
      </c>
      <c r="N3" s="2" t="n">
        <f aca="false">ROUNDUP(N2/12,0)</f>
        <v>1</v>
      </c>
      <c r="O3" s="2" t="n">
        <f aca="false">ROUNDUP(O2/12,0)</f>
        <v>2</v>
      </c>
      <c r="P3" s="2" t="n">
        <f aca="false">ROUNDUP(P2/12,0)</f>
        <v>2</v>
      </c>
      <c r="Q3" s="2" t="n">
        <f aca="false">ROUNDUP(Q2/12,0)</f>
        <v>2</v>
      </c>
      <c r="R3" s="2" t="n">
        <f aca="false">ROUNDUP(R2/12,0)</f>
        <v>2</v>
      </c>
      <c r="S3" s="2" t="n">
        <f aca="false">ROUNDUP(S2/12,0)</f>
        <v>2</v>
      </c>
      <c r="T3" s="2" t="n">
        <f aca="false">ROUNDUP(T2/12,0)</f>
        <v>2</v>
      </c>
      <c r="U3" s="2" t="n">
        <f aca="false">ROUNDUP(U2/12,0)</f>
        <v>2</v>
      </c>
      <c r="V3" s="2" t="n">
        <f aca="false">ROUNDUP(V2/12,0)</f>
        <v>2</v>
      </c>
      <c r="W3" s="2" t="n">
        <f aca="false">ROUNDUP(W2/12,0)</f>
        <v>2</v>
      </c>
      <c r="X3" s="2" t="n">
        <f aca="false">ROUNDUP(X2/12,0)</f>
        <v>2</v>
      </c>
      <c r="Y3" s="2" t="n">
        <f aca="false">ROUNDUP(Y2/12,0)</f>
        <v>2</v>
      </c>
      <c r="Z3" s="2" t="n">
        <f aca="false">ROUNDUP(Z2/12,0)</f>
        <v>2</v>
      </c>
      <c r="AA3" s="2" t="n">
        <f aca="false">ROUNDUP(AA2/12,0)</f>
        <v>3</v>
      </c>
      <c r="AB3" s="2" t="n">
        <f aca="false">ROUNDUP(AB2/12,0)</f>
        <v>3</v>
      </c>
      <c r="AC3" s="2" t="n">
        <f aca="false">ROUNDUP(AC2/12,0)</f>
        <v>3</v>
      </c>
      <c r="AD3" s="2" t="n">
        <f aca="false">ROUNDUP(AD2/12,0)</f>
        <v>3</v>
      </c>
      <c r="AE3" s="2" t="n">
        <f aca="false">ROUNDUP(AE2/12,0)</f>
        <v>3</v>
      </c>
      <c r="AF3" s="2" t="n">
        <f aca="false">ROUNDUP(AF2/12,0)</f>
        <v>3</v>
      </c>
      <c r="AG3" s="2" t="n">
        <f aca="false">ROUNDUP(AG2/12,0)</f>
        <v>3</v>
      </c>
      <c r="AH3" s="2" t="n">
        <f aca="false">ROUNDUP(AH2/12,0)</f>
        <v>3</v>
      </c>
      <c r="AI3" s="2" t="n">
        <f aca="false">ROUNDUP(AI2/12,0)</f>
        <v>3</v>
      </c>
      <c r="AJ3" s="2" t="n">
        <f aca="false">ROUNDUP(AJ2/12,0)</f>
        <v>3</v>
      </c>
      <c r="AK3" s="2" t="n">
        <f aca="false">ROUNDUP(AK2/12,0)</f>
        <v>3</v>
      </c>
      <c r="AL3" s="2" t="n">
        <f aca="false">ROUNDUP(AL2/12,0)</f>
        <v>3</v>
      </c>
    </row>
    <row r="4" customFormat="false" ht="15" hidden="false" customHeight="false" outlineLevel="0" collapsed="false">
      <c r="A4" s="3" t="s">
        <v>192</v>
      </c>
      <c r="B4" s="4"/>
      <c r="C4" s="23" t="n">
        <f aca="false">DATE(2026,10,19)+ROUND((C2-1)*30.44,0)</f>
        <v>46314</v>
      </c>
      <c r="D4" s="23" t="n">
        <f aca="false">DATE(2026,10,19)+ROUND((D2-1)*30.44,0)</f>
        <v>46344</v>
      </c>
      <c r="E4" s="23" t="n">
        <f aca="false">DATE(2026,10,19)+ROUND((E2-1)*30.44,0)</f>
        <v>46375</v>
      </c>
      <c r="F4" s="23" t="n">
        <f aca="false">DATE(2026,10,19)+ROUND((F2-1)*30.44,0)</f>
        <v>46405</v>
      </c>
      <c r="G4" s="23" t="n">
        <f aca="false">DATE(2026,10,19)+ROUND((G2-1)*30.44,0)</f>
        <v>46436</v>
      </c>
      <c r="H4" s="23" t="n">
        <f aca="false">DATE(2026,10,19)+ROUND((H2-1)*30.44,0)</f>
        <v>46466</v>
      </c>
      <c r="I4" s="23" t="n">
        <f aca="false">DATE(2026,10,19)+ROUND((I2-1)*30.44,0)</f>
        <v>46497</v>
      </c>
      <c r="J4" s="23" t="n">
        <f aca="false">DATE(2026,10,19)+ROUND((J2-1)*30.44,0)</f>
        <v>46527</v>
      </c>
      <c r="K4" s="23" t="n">
        <f aca="false">DATE(2026,10,19)+ROUND((K2-1)*30.44,0)</f>
        <v>46558</v>
      </c>
      <c r="L4" s="23" t="n">
        <f aca="false">DATE(2026,10,19)+ROUND((L2-1)*30.44,0)</f>
        <v>46588</v>
      </c>
      <c r="M4" s="23" t="n">
        <f aca="false">DATE(2026,10,19)+ROUND((M2-1)*30.44,0)</f>
        <v>46618</v>
      </c>
      <c r="N4" s="23" t="n">
        <f aca="false">DATE(2026,10,19)+ROUND((N2-1)*30.44,0)</f>
        <v>46649</v>
      </c>
      <c r="O4" s="23" t="n">
        <f aca="false">DATE(2026,10,19)+ROUND((O2-1)*30.44,0)</f>
        <v>46679</v>
      </c>
      <c r="P4" s="23" t="n">
        <f aca="false">DATE(2026,10,19)+ROUND((P2-1)*30.44,0)</f>
        <v>46710</v>
      </c>
      <c r="Q4" s="23" t="n">
        <f aca="false">DATE(2026,10,19)+ROUND((Q2-1)*30.44,0)</f>
        <v>46740</v>
      </c>
      <c r="R4" s="23" t="n">
        <f aca="false">DATE(2026,10,19)+ROUND((R2-1)*30.44,0)</f>
        <v>46771</v>
      </c>
      <c r="S4" s="23" t="n">
        <f aca="false">DATE(2026,10,19)+ROUND((S2-1)*30.44,0)</f>
        <v>46801</v>
      </c>
      <c r="T4" s="23" t="n">
        <f aca="false">DATE(2026,10,19)+ROUND((T2-1)*30.44,0)</f>
        <v>46831</v>
      </c>
      <c r="U4" s="23" t="n">
        <f aca="false">DATE(2026,10,19)+ROUND((U2-1)*30.44,0)</f>
        <v>46862</v>
      </c>
      <c r="V4" s="23" t="n">
        <f aca="false">DATE(2026,10,19)+ROUND((V2-1)*30.44,0)</f>
        <v>46892</v>
      </c>
      <c r="W4" s="23" t="n">
        <f aca="false">DATE(2026,10,19)+ROUND((W2-1)*30.44,0)</f>
        <v>46923</v>
      </c>
      <c r="X4" s="23" t="n">
        <f aca="false">DATE(2026,10,19)+ROUND((X2-1)*30.44,0)</f>
        <v>46953</v>
      </c>
      <c r="Y4" s="23" t="n">
        <f aca="false">DATE(2026,10,19)+ROUND((Y2-1)*30.44,0)</f>
        <v>46984</v>
      </c>
      <c r="Z4" s="23" t="n">
        <f aca="false">DATE(2026,10,19)+ROUND((Z2-1)*30.44,0)</f>
        <v>47014</v>
      </c>
      <c r="AA4" s="23" t="n">
        <f aca="false">DATE(2026,10,19)+ROUND((AA2-1)*30.44,0)</f>
        <v>47045</v>
      </c>
      <c r="AB4" s="23" t="n">
        <f aca="false">DATE(2026,10,19)+ROUND((AB2-1)*30.44,0)</f>
        <v>47075</v>
      </c>
      <c r="AC4" s="23" t="n">
        <f aca="false">DATE(2026,10,19)+ROUND((AC2-1)*30.44,0)</f>
        <v>47105</v>
      </c>
      <c r="AD4" s="23" t="n">
        <f aca="false">DATE(2026,10,19)+ROUND((AD2-1)*30.44,0)</f>
        <v>47136</v>
      </c>
      <c r="AE4" s="23" t="n">
        <f aca="false">DATE(2026,10,19)+ROUND((AE2-1)*30.44,0)</f>
        <v>47166</v>
      </c>
      <c r="AF4" s="23" t="n">
        <f aca="false">DATE(2026,10,19)+ROUND((AF2-1)*30.44,0)</f>
        <v>47197</v>
      </c>
      <c r="AG4" s="23" t="n">
        <f aca="false">DATE(2026,10,19)+ROUND((AG2-1)*30.44,0)</f>
        <v>47227</v>
      </c>
      <c r="AH4" s="23" t="n">
        <f aca="false">DATE(2026,10,19)+ROUND((AH2-1)*30.44,0)</f>
        <v>47258</v>
      </c>
      <c r="AI4" s="23" t="n">
        <f aca="false">DATE(2026,10,19)+ROUND((AI2-1)*30.44,0)</f>
        <v>47288</v>
      </c>
      <c r="AJ4" s="23" t="n">
        <f aca="false">DATE(2026,10,19)+ROUND((AJ2-1)*30.44,0)</f>
        <v>47319</v>
      </c>
      <c r="AK4" s="23" t="n">
        <f aca="false">DATE(2026,10,19)+ROUND((AK2-1)*30.44,0)</f>
        <v>47349</v>
      </c>
      <c r="AL4" s="23" t="n">
        <f aca="false">DATE(2026,10,19)+ROUND((AL2-1)*30.44,0)</f>
        <v>47379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customFormat="false" ht="15" hidden="false" customHeight="false" outlineLevel="0" collapsed="false">
      <c r="A6" s="14" t="s">
        <v>193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customFormat="false" ht="15" hidden="false" customHeight="false" outlineLevel="0" collapsed="false">
      <c r="A7" s="2" t="s">
        <v>194</v>
      </c>
      <c r="B7" s="4"/>
      <c r="C7" s="21" t="n">
        <f aca="false">IF(C$2=Inputs!$C$6,1,0)</f>
        <v>1</v>
      </c>
      <c r="D7" s="21" t="n">
        <f aca="false">IF(D$2=Inputs!$C$6,1,0)</f>
        <v>0</v>
      </c>
      <c r="E7" s="21" t="n">
        <f aca="false">IF(E$2=Inputs!$C$6,1,0)</f>
        <v>0</v>
      </c>
      <c r="F7" s="21" t="n">
        <f aca="false">IF(F$2=Inputs!$C$6,1,0)</f>
        <v>0</v>
      </c>
      <c r="G7" s="21" t="n">
        <f aca="false">IF(G$2=Inputs!$C$6,1,0)</f>
        <v>0</v>
      </c>
      <c r="H7" s="21" t="n">
        <f aca="false">IF(H$2=Inputs!$C$6,1,0)</f>
        <v>0</v>
      </c>
      <c r="I7" s="21" t="n">
        <f aca="false">IF(I$2=Inputs!$C$6,1,0)</f>
        <v>0</v>
      </c>
      <c r="J7" s="21" t="n">
        <f aca="false">IF(J$2=Inputs!$C$6,1,0)</f>
        <v>0</v>
      </c>
      <c r="K7" s="21" t="n">
        <f aca="false">IF(K$2=Inputs!$C$6,1,0)</f>
        <v>0</v>
      </c>
      <c r="L7" s="21" t="n">
        <f aca="false">IF(L$2=Inputs!$C$6,1,0)</f>
        <v>0</v>
      </c>
      <c r="M7" s="21" t="n">
        <f aca="false">IF(M$2=Inputs!$C$6,1,0)</f>
        <v>0</v>
      </c>
      <c r="N7" s="21" t="n">
        <f aca="false">IF(N$2=Inputs!$C$6,1,0)</f>
        <v>0</v>
      </c>
      <c r="O7" s="21" t="n">
        <f aca="false">IF(O$2=Inputs!$C$6,1,0)</f>
        <v>0</v>
      </c>
      <c r="P7" s="21" t="n">
        <f aca="false">IF(P$2=Inputs!$C$6,1,0)</f>
        <v>0</v>
      </c>
      <c r="Q7" s="21" t="n">
        <f aca="false">IF(Q$2=Inputs!$C$6,1,0)</f>
        <v>0</v>
      </c>
      <c r="R7" s="21" t="n">
        <f aca="false">IF(R$2=Inputs!$C$6,1,0)</f>
        <v>0</v>
      </c>
      <c r="S7" s="21" t="n">
        <f aca="false">IF(S$2=Inputs!$C$6,1,0)</f>
        <v>0</v>
      </c>
      <c r="T7" s="21" t="n">
        <f aca="false">IF(T$2=Inputs!$C$6,1,0)</f>
        <v>0</v>
      </c>
      <c r="U7" s="21" t="n">
        <f aca="false">IF(U$2=Inputs!$C$6,1,0)</f>
        <v>0</v>
      </c>
      <c r="V7" s="21" t="n">
        <f aca="false">IF(V$2=Inputs!$C$6,1,0)</f>
        <v>0</v>
      </c>
      <c r="W7" s="21" t="n">
        <f aca="false">IF(W$2=Inputs!$C$6,1,0)</f>
        <v>0</v>
      </c>
      <c r="X7" s="21" t="n">
        <f aca="false">IF(X$2=Inputs!$C$6,1,0)</f>
        <v>0</v>
      </c>
      <c r="Y7" s="21" t="n">
        <f aca="false">IF(Y$2=Inputs!$C$6,1,0)</f>
        <v>0</v>
      </c>
      <c r="Z7" s="21" t="n">
        <f aca="false">IF(Z$2=Inputs!$C$6,1,0)</f>
        <v>0</v>
      </c>
      <c r="AA7" s="21" t="n">
        <f aca="false">IF(AA$2=Inputs!$C$6,1,0)</f>
        <v>0</v>
      </c>
      <c r="AB7" s="21" t="n">
        <f aca="false">IF(AB$2=Inputs!$C$6,1,0)</f>
        <v>0</v>
      </c>
      <c r="AC7" s="21" t="n">
        <f aca="false">IF(AC$2=Inputs!$C$6,1,0)</f>
        <v>0</v>
      </c>
      <c r="AD7" s="21" t="n">
        <f aca="false">IF(AD$2=Inputs!$C$6,1,0)</f>
        <v>0</v>
      </c>
      <c r="AE7" s="21" t="n">
        <f aca="false">IF(AE$2=Inputs!$C$6,1,0)</f>
        <v>0</v>
      </c>
      <c r="AF7" s="21" t="n">
        <f aca="false">IF(AF$2=Inputs!$C$6,1,0)</f>
        <v>0</v>
      </c>
      <c r="AG7" s="21" t="n">
        <f aca="false">IF(AG$2=Inputs!$C$6,1,0)</f>
        <v>0</v>
      </c>
      <c r="AH7" s="21" t="n">
        <f aca="false">IF(AH$2=Inputs!$C$6,1,0)</f>
        <v>0</v>
      </c>
      <c r="AI7" s="21" t="n">
        <f aca="false">IF(AI$2=Inputs!$C$6,1,0)</f>
        <v>0</v>
      </c>
      <c r="AJ7" s="21" t="n">
        <f aca="false">IF(AJ$2=Inputs!$C$6,1,0)</f>
        <v>0</v>
      </c>
      <c r="AK7" s="21" t="n">
        <f aca="false">IF(AK$2=Inputs!$C$6,1,0)</f>
        <v>0</v>
      </c>
      <c r="AL7" s="21" t="n">
        <f aca="false">IF(AL$2=Inputs!$C$6,1,0)</f>
        <v>0</v>
      </c>
    </row>
    <row r="8" customFormat="false" ht="15" hidden="false" customHeight="false" outlineLevel="0" collapsed="false">
      <c r="A8" s="2" t="s">
        <v>183</v>
      </c>
      <c r="B8" s="4"/>
      <c r="C8" s="9" t="n">
        <f aca="false">Schedules!C6</f>
        <v>0</v>
      </c>
      <c r="D8" s="9" t="n">
        <f aca="false">Schedules!D6</f>
        <v>0</v>
      </c>
      <c r="E8" s="9" t="n">
        <f aca="false">Schedules!E6</f>
        <v>1</v>
      </c>
      <c r="F8" s="9" t="n">
        <f aca="false">Schedules!F6</f>
        <v>0</v>
      </c>
      <c r="G8" s="9" t="n">
        <f aca="false">Schedules!G6</f>
        <v>0</v>
      </c>
      <c r="H8" s="9" t="n">
        <f aca="false">Schedules!H6</f>
        <v>1</v>
      </c>
      <c r="I8" s="9" t="n">
        <f aca="false">Schedules!I6</f>
        <v>0</v>
      </c>
      <c r="J8" s="9" t="n">
        <f aca="false">Schedules!J6</f>
        <v>0</v>
      </c>
      <c r="K8" s="9" t="n">
        <f aca="false">Schedules!K6</f>
        <v>1</v>
      </c>
      <c r="L8" s="9" t="n">
        <f aca="false">Schedules!L6</f>
        <v>0</v>
      </c>
      <c r="M8" s="9" t="n">
        <f aca="false">Schedules!M6</f>
        <v>0</v>
      </c>
      <c r="N8" s="9" t="n">
        <f aca="false">Schedules!N6</f>
        <v>0</v>
      </c>
      <c r="O8" s="9" t="n">
        <f aca="false">Schedules!O6</f>
        <v>1</v>
      </c>
      <c r="P8" s="9" t="n">
        <f aca="false">Schedules!P6</f>
        <v>0</v>
      </c>
      <c r="Q8" s="9" t="n">
        <f aca="false">Schedules!Q6</f>
        <v>1</v>
      </c>
      <c r="R8" s="9" t="n">
        <f aca="false">Schedules!R6</f>
        <v>0</v>
      </c>
      <c r="S8" s="9" t="n">
        <f aca="false">Schedules!S6</f>
        <v>1</v>
      </c>
      <c r="T8" s="9" t="n">
        <f aca="false">Schedules!T6</f>
        <v>0</v>
      </c>
      <c r="U8" s="9" t="n">
        <f aca="false">Schedules!U6</f>
        <v>1</v>
      </c>
      <c r="V8" s="9" t="n">
        <f aca="false">Schedules!V6</f>
        <v>1</v>
      </c>
      <c r="W8" s="9" t="n">
        <f aca="false">Schedules!W6</f>
        <v>0</v>
      </c>
      <c r="X8" s="9" t="n">
        <f aca="false">Schedules!X6</f>
        <v>1</v>
      </c>
      <c r="Y8" s="9" t="n">
        <f aca="false">Schedules!Y6</f>
        <v>1</v>
      </c>
      <c r="Z8" s="9" t="n">
        <f aca="false">Schedules!Z6</f>
        <v>0</v>
      </c>
      <c r="AA8" s="9" t="n">
        <f aca="false">Schedules!AA6</f>
        <v>1</v>
      </c>
      <c r="AB8" s="9" t="n">
        <f aca="false">Schedules!AB6</f>
        <v>1</v>
      </c>
      <c r="AC8" s="9" t="n">
        <f aca="false">Schedules!AC6</f>
        <v>0</v>
      </c>
      <c r="AD8" s="9" t="n">
        <f aca="false">Schedules!AD6</f>
        <v>1</v>
      </c>
      <c r="AE8" s="9" t="n">
        <f aca="false">Schedules!AE6</f>
        <v>1</v>
      </c>
      <c r="AF8" s="9" t="n">
        <f aca="false">Schedules!AF6</f>
        <v>1</v>
      </c>
      <c r="AG8" s="9" t="n">
        <f aca="false">Schedules!AG6</f>
        <v>0</v>
      </c>
      <c r="AH8" s="9" t="n">
        <f aca="false">Schedules!AH6</f>
        <v>1</v>
      </c>
      <c r="AI8" s="9" t="n">
        <f aca="false">Schedules!AI6</f>
        <v>1</v>
      </c>
      <c r="AJ8" s="9" t="n">
        <f aca="false">Schedules!AJ6</f>
        <v>1</v>
      </c>
      <c r="AK8" s="9" t="n">
        <f aca="false">Schedules!AK6</f>
        <v>1</v>
      </c>
      <c r="AL8" s="9" t="n">
        <f aca="false">Schedules!AL6</f>
        <v>0</v>
      </c>
    </row>
    <row r="9" customFormat="false" ht="15" hidden="false" customHeight="false" outlineLevel="0" collapsed="false">
      <c r="A9" s="2" t="s">
        <v>195</v>
      </c>
      <c r="B9" s="4"/>
      <c r="C9" s="21" t="n">
        <f aca="false">IF(C$2-Inputs!$C$12&gt;=1,INDEX($C$8:$AL$8,C$2-Inputs!$C$12),0)</f>
        <v>0</v>
      </c>
      <c r="D9" s="21" t="n">
        <f aca="false">IF(D$2-Inputs!$C$12&gt;=1,INDEX($C$8:$AL$8,D$2-Inputs!$C$12),0)</f>
        <v>0</v>
      </c>
      <c r="E9" s="21" t="n">
        <f aca="false">IF(E$2-Inputs!$C$12&gt;=1,INDEX($C$8:$AL$8,E$2-Inputs!$C$12),0)</f>
        <v>0</v>
      </c>
      <c r="F9" s="21" t="n">
        <f aca="false">IF(F$2-Inputs!$C$12&gt;=1,INDEX($C$8:$AL$8,F$2-Inputs!$C$12),0)</f>
        <v>0</v>
      </c>
      <c r="G9" s="21" t="n">
        <f aca="false">IF(G$2-Inputs!$C$12&gt;=1,INDEX($C$8:$AL$8,G$2-Inputs!$C$12),0)</f>
        <v>1</v>
      </c>
      <c r="H9" s="21" t="n">
        <f aca="false">IF(H$2-Inputs!$C$12&gt;=1,INDEX($C$8:$AL$8,H$2-Inputs!$C$12),0)</f>
        <v>0</v>
      </c>
      <c r="I9" s="21" t="n">
        <f aca="false">IF(I$2-Inputs!$C$12&gt;=1,INDEX($C$8:$AL$8,I$2-Inputs!$C$12),0)</f>
        <v>0</v>
      </c>
      <c r="J9" s="21" t="n">
        <f aca="false">IF(J$2-Inputs!$C$12&gt;=1,INDEX($C$8:$AL$8,J$2-Inputs!$C$12),0)</f>
        <v>1</v>
      </c>
      <c r="K9" s="21" t="n">
        <f aca="false">IF(K$2-Inputs!$C$12&gt;=1,INDEX($C$8:$AL$8,K$2-Inputs!$C$12),0)</f>
        <v>0</v>
      </c>
      <c r="L9" s="21" t="n">
        <f aca="false">IF(L$2-Inputs!$C$12&gt;=1,INDEX($C$8:$AL$8,L$2-Inputs!$C$12),0)</f>
        <v>0</v>
      </c>
      <c r="M9" s="21" t="n">
        <f aca="false">IF(M$2-Inputs!$C$12&gt;=1,INDEX($C$8:$AL$8,M$2-Inputs!$C$12),0)</f>
        <v>1</v>
      </c>
      <c r="N9" s="21" t="n">
        <f aca="false">IF(N$2-Inputs!$C$12&gt;=1,INDEX($C$8:$AL$8,N$2-Inputs!$C$12),0)</f>
        <v>0</v>
      </c>
      <c r="O9" s="21" t="n">
        <f aca="false">IF(O$2-Inputs!$C$12&gt;=1,INDEX($C$8:$AL$8,O$2-Inputs!$C$12),0)</f>
        <v>0</v>
      </c>
      <c r="P9" s="21" t="n">
        <f aca="false">IF(P$2-Inputs!$C$12&gt;=1,INDEX($C$8:$AL$8,P$2-Inputs!$C$12),0)</f>
        <v>0</v>
      </c>
      <c r="Q9" s="21" t="n">
        <f aca="false">IF(Q$2-Inputs!$C$12&gt;=1,INDEX($C$8:$AL$8,Q$2-Inputs!$C$12),0)</f>
        <v>1</v>
      </c>
      <c r="R9" s="21" t="n">
        <f aca="false">IF(R$2-Inputs!$C$12&gt;=1,INDEX($C$8:$AL$8,R$2-Inputs!$C$12),0)</f>
        <v>0</v>
      </c>
      <c r="S9" s="21" t="n">
        <f aca="false">IF(S$2-Inputs!$C$12&gt;=1,INDEX($C$8:$AL$8,S$2-Inputs!$C$12),0)</f>
        <v>1</v>
      </c>
      <c r="T9" s="21" t="n">
        <f aca="false">IF(T$2-Inputs!$C$12&gt;=1,INDEX($C$8:$AL$8,T$2-Inputs!$C$12),0)</f>
        <v>0</v>
      </c>
      <c r="U9" s="21" t="n">
        <f aca="false">IF(U$2-Inputs!$C$12&gt;=1,INDEX($C$8:$AL$8,U$2-Inputs!$C$12),0)</f>
        <v>1</v>
      </c>
      <c r="V9" s="21" t="n">
        <f aca="false">IF(V$2-Inputs!$C$12&gt;=1,INDEX($C$8:$AL$8,V$2-Inputs!$C$12),0)</f>
        <v>0</v>
      </c>
      <c r="W9" s="21" t="n">
        <f aca="false">IF(W$2-Inputs!$C$12&gt;=1,INDEX($C$8:$AL$8,W$2-Inputs!$C$12),0)</f>
        <v>1</v>
      </c>
      <c r="X9" s="21" t="n">
        <f aca="false">IF(X$2-Inputs!$C$12&gt;=1,INDEX($C$8:$AL$8,X$2-Inputs!$C$12),0)</f>
        <v>1</v>
      </c>
      <c r="Y9" s="21" t="n">
        <f aca="false">IF(Y$2-Inputs!$C$12&gt;=1,INDEX($C$8:$AL$8,Y$2-Inputs!$C$12),0)</f>
        <v>0</v>
      </c>
      <c r="Z9" s="21" t="n">
        <f aca="false">IF(Z$2-Inputs!$C$12&gt;=1,INDEX($C$8:$AL$8,Z$2-Inputs!$C$12),0)</f>
        <v>1</v>
      </c>
      <c r="AA9" s="21" t="n">
        <f aca="false">IF(AA$2-Inputs!$C$12&gt;=1,INDEX($C$8:$AL$8,AA$2-Inputs!$C$12),0)</f>
        <v>1</v>
      </c>
      <c r="AB9" s="21" t="n">
        <f aca="false">IF(AB$2-Inputs!$C$12&gt;=1,INDEX($C$8:$AL$8,AB$2-Inputs!$C$12),0)</f>
        <v>0</v>
      </c>
      <c r="AC9" s="21" t="n">
        <f aca="false">IF(AC$2-Inputs!$C$12&gt;=1,INDEX($C$8:$AL$8,AC$2-Inputs!$C$12),0)</f>
        <v>1</v>
      </c>
      <c r="AD9" s="21" t="n">
        <f aca="false">IF(AD$2-Inputs!$C$12&gt;=1,INDEX($C$8:$AL$8,AD$2-Inputs!$C$12),0)</f>
        <v>1</v>
      </c>
      <c r="AE9" s="21" t="n">
        <f aca="false">IF(AE$2-Inputs!$C$12&gt;=1,INDEX($C$8:$AL$8,AE$2-Inputs!$C$12),0)</f>
        <v>0</v>
      </c>
      <c r="AF9" s="21" t="n">
        <f aca="false">IF(AF$2-Inputs!$C$12&gt;=1,INDEX($C$8:$AL$8,AF$2-Inputs!$C$12),0)</f>
        <v>1</v>
      </c>
      <c r="AG9" s="21" t="n">
        <f aca="false">IF(AG$2-Inputs!$C$12&gt;=1,INDEX($C$8:$AL$8,AG$2-Inputs!$C$12),0)</f>
        <v>1</v>
      </c>
      <c r="AH9" s="21" t="n">
        <f aca="false">IF(AH$2-Inputs!$C$12&gt;=1,INDEX($C$8:$AL$8,AH$2-Inputs!$C$12),0)</f>
        <v>1</v>
      </c>
      <c r="AI9" s="21" t="n">
        <f aca="false">IF(AI$2-Inputs!$C$12&gt;=1,INDEX($C$8:$AL$8,AI$2-Inputs!$C$12),0)</f>
        <v>0</v>
      </c>
      <c r="AJ9" s="21" t="n">
        <f aca="false">IF(AJ$2-Inputs!$C$12&gt;=1,INDEX($C$8:$AL$8,AJ$2-Inputs!$C$12),0)</f>
        <v>1</v>
      </c>
      <c r="AK9" s="21" t="n">
        <f aca="false">IF(AK$2-Inputs!$C$12&gt;=1,INDEX($C$8:$AL$8,AK$2-Inputs!$C$12),0)</f>
        <v>1</v>
      </c>
      <c r="AL9" s="21" t="n">
        <f aca="false">IF(AL$2-Inputs!$C$12&gt;=1,INDEX($C$8:$AL$8,AL$2-Inputs!$C$12),0)</f>
        <v>1</v>
      </c>
    </row>
    <row r="10" customFormat="false" ht="15" hidden="false" customHeight="false" outlineLevel="0" collapsed="false">
      <c r="A10" s="2" t="s">
        <v>196</v>
      </c>
      <c r="B10" s="4"/>
      <c r="C10" s="21" t="n">
        <f aca="false">IF(C$2=Inputs!$C$6+Inputs!$C$12,1,0)</f>
        <v>0</v>
      </c>
      <c r="D10" s="21" t="n">
        <f aca="false">IF(D$2=Inputs!$C$6+Inputs!$C$12,1,0)</f>
        <v>0</v>
      </c>
      <c r="E10" s="21" t="n">
        <f aca="false">IF(E$2=Inputs!$C$6+Inputs!$C$12,1,0)</f>
        <v>1</v>
      </c>
      <c r="F10" s="21" t="n">
        <f aca="false">IF(F$2=Inputs!$C$6+Inputs!$C$12,1,0)</f>
        <v>0</v>
      </c>
      <c r="G10" s="21" t="n">
        <f aca="false">IF(G$2=Inputs!$C$6+Inputs!$C$12,1,0)</f>
        <v>0</v>
      </c>
      <c r="H10" s="21" t="n">
        <f aca="false">IF(H$2=Inputs!$C$6+Inputs!$C$12,1,0)</f>
        <v>0</v>
      </c>
      <c r="I10" s="21" t="n">
        <f aca="false">IF(I$2=Inputs!$C$6+Inputs!$C$12,1,0)</f>
        <v>0</v>
      </c>
      <c r="J10" s="21" t="n">
        <f aca="false">IF(J$2=Inputs!$C$6+Inputs!$C$12,1,0)</f>
        <v>0</v>
      </c>
      <c r="K10" s="21" t="n">
        <f aca="false">IF(K$2=Inputs!$C$6+Inputs!$C$12,1,0)</f>
        <v>0</v>
      </c>
      <c r="L10" s="21" t="n">
        <f aca="false">IF(L$2=Inputs!$C$6+Inputs!$C$12,1,0)</f>
        <v>0</v>
      </c>
      <c r="M10" s="21" t="n">
        <f aca="false">IF(M$2=Inputs!$C$6+Inputs!$C$12,1,0)</f>
        <v>0</v>
      </c>
      <c r="N10" s="21" t="n">
        <f aca="false">IF(N$2=Inputs!$C$6+Inputs!$C$12,1,0)</f>
        <v>0</v>
      </c>
      <c r="O10" s="21" t="n">
        <f aca="false">IF(O$2=Inputs!$C$6+Inputs!$C$12,1,0)</f>
        <v>0</v>
      </c>
      <c r="P10" s="21" t="n">
        <f aca="false">IF(P$2=Inputs!$C$6+Inputs!$C$12,1,0)</f>
        <v>0</v>
      </c>
      <c r="Q10" s="21" t="n">
        <f aca="false">IF(Q$2=Inputs!$C$6+Inputs!$C$12,1,0)</f>
        <v>0</v>
      </c>
      <c r="R10" s="21" t="n">
        <f aca="false">IF(R$2=Inputs!$C$6+Inputs!$C$12,1,0)</f>
        <v>0</v>
      </c>
      <c r="S10" s="21" t="n">
        <f aca="false">IF(S$2=Inputs!$C$6+Inputs!$C$12,1,0)</f>
        <v>0</v>
      </c>
      <c r="T10" s="21" t="n">
        <f aca="false">IF(T$2=Inputs!$C$6+Inputs!$C$12,1,0)</f>
        <v>0</v>
      </c>
      <c r="U10" s="21" t="n">
        <f aca="false">IF(U$2=Inputs!$C$6+Inputs!$C$12,1,0)</f>
        <v>0</v>
      </c>
      <c r="V10" s="21" t="n">
        <f aca="false">IF(V$2=Inputs!$C$6+Inputs!$C$12,1,0)</f>
        <v>0</v>
      </c>
      <c r="W10" s="21" t="n">
        <f aca="false">IF(W$2=Inputs!$C$6+Inputs!$C$12,1,0)</f>
        <v>0</v>
      </c>
      <c r="X10" s="21" t="n">
        <f aca="false">IF(X$2=Inputs!$C$6+Inputs!$C$12,1,0)</f>
        <v>0</v>
      </c>
      <c r="Y10" s="21" t="n">
        <f aca="false">IF(Y$2=Inputs!$C$6+Inputs!$C$12,1,0)</f>
        <v>0</v>
      </c>
      <c r="Z10" s="21" t="n">
        <f aca="false">IF(Z$2=Inputs!$C$6+Inputs!$C$12,1,0)</f>
        <v>0</v>
      </c>
      <c r="AA10" s="21" t="n">
        <f aca="false">IF(AA$2=Inputs!$C$6+Inputs!$C$12,1,0)</f>
        <v>0</v>
      </c>
      <c r="AB10" s="21" t="n">
        <f aca="false">IF(AB$2=Inputs!$C$6+Inputs!$C$12,1,0)</f>
        <v>0</v>
      </c>
      <c r="AC10" s="21" t="n">
        <f aca="false">IF(AC$2=Inputs!$C$6+Inputs!$C$12,1,0)</f>
        <v>0</v>
      </c>
      <c r="AD10" s="21" t="n">
        <f aca="false">IF(AD$2=Inputs!$C$6+Inputs!$C$12,1,0)</f>
        <v>0</v>
      </c>
      <c r="AE10" s="21" t="n">
        <f aca="false">IF(AE$2=Inputs!$C$6+Inputs!$C$12,1,0)</f>
        <v>0</v>
      </c>
      <c r="AF10" s="21" t="n">
        <f aca="false">IF(AF$2=Inputs!$C$6+Inputs!$C$12,1,0)</f>
        <v>0</v>
      </c>
      <c r="AG10" s="21" t="n">
        <f aca="false">IF(AG$2=Inputs!$C$6+Inputs!$C$12,1,0)</f>
        <v>0</v>
      </c>
      <c r="AH10" s="21" t="n">
        <f aca="false">IF(AH$2=Inputs!$C$6+Inputs!$C$12,1,0)</f>
        <v>0</v>
      </c>
      <c r="AI10" s="21" t="n">
        <f aca="false">IF(AI$2=Inputs!$C$6+Inputs!$C$12,1,0)</f>
        <v>0</v>
      </c>
      <c r="AJ10" s="21" t="n">
        <f aca="false">IF(AJ$2=Inputs!$C$6+Inputs!$C$12,1,0)</f>
        <v>0</v>
      </c>
      <c r="AK10" s="21" t="n">
        <f aca="false">IF(AK$2=Inputs!$C$6+Inputs!$C$12,1,0)</f>
        <v>0</v>
      </c>
      <c r="AL10" s="21" t="n">
        <f aca="false">IF(AL$2=Inputs!$C$6+Inputs!$C$12,1,0)</f>
        <v>0</v>
      </c>
    </row>
    <row r="11" customFormat="false" ht="15" hidden="false" customHeight="false" outlineLevel="0" collapsed="false">
      <c r="A11" s="2" t="s">
        <v>197</v>
      </c>
      <c r="B11" s="4"/>
      <c r="C11" s="21" t="n">
        <f aca="false">0+C9+C10</f>
        <v>0</v>
      </c>
      <c r="D11" s="21" t="n">
        <f aca="false">C11+D9+D10</f>
        <v>0</v>
      </c>
      <c r="E11" s="21" t="n">
        <f aca="false">D11+E9+E10</f>
        <v>1</v>
      </c>
      <c r="F11" s="21" t="n">
        <f aca="false">E11+F9+F10</f>
        <v>1</v>
      </c>
      <c r="G11" s="21" t="n">
        <f aca="false">F11+G9+G10</f>
        <v>2</v>
      </c>
      <c r="H11" s="21" t="n">
        <f aca="false">G11+H9+H10</f>
        <v>2</v>
      </c>
      <c r="I11" s="21" t="n">
        <f aca="false">H11+I9+I10</f>
        <v>2</v>
      </c>
      <c r="J11" s="21" t="n">
        <f aca="false">I11+J9+J10</f>
        <v>3</v>
      </c>
      <c r="K11" s="21" t="n">
        <f aca="false">J11+K9+K10</f>
        <v>3</v>
      </c>
      <c r="L11" s="21" t="n">
        <f aca="false">K11+L9+L10</f>
        <v>3</v>
      </c>
      <c r="M11" s="21" t="n">
        <f aca="false">L11+M9+M10</f>
        <v>4</v>
      </c>
      <c r="N11" s="21" t="n">
        <f aca="false">M11+N9+N10</f>
        <v>4</v>
      </c>
      <c r="O11" s="21" t="n">
        <f aca="false">N11+O9+O10</f>
        <v>4</v>
      </c>
      <c r="P11" s="21" t="n">
        <f aca="false">O11+P9+P10</f>
        <v>4</v>
      </c>
      <c r="Q11" s="21" t="n">
        <f aca="false">P11+Q9+Q10</f>
        <v>5</v>
      </c>
      <c r="R11" s="21" t="n">
        <f aca="false">Q11+R9+R10</f>
        <v>5</v>
      </c>
      <c r="S11" s="21" t="n">
        <f aca="false">R11+S9+S10</f>
        <v>6</v>
      </c>
      <c r="T11" s="21" t="n">
        <f aca="false">S11+T9+T10</f>
        <v>6</v>
      </c>
      <c r="U11" s="21" t="n">
        <f aca="false">T11+U9+U10</f>
        <v>7</v>
      </c>
      <c r="V11" s="21" t="n">
        <f aca="false">U11+V9+V10</f>
        <v>7</v>
      </c>
      <c r="W11" s="21" t="n">
        <f aca="false">V11+W9+W10</f>
        <v>8</v>
      </c>
      <c r="X11" s="21" t="n">
        <f aca="false">W11+X9+X10</f>
        <v>9</v>
      </c>
      <c r="Y11" s="21" t="n">
        <f aca="false">X11+Y9+Y10</f>
        <v>9</v>
      </c>
      <c r="Z11" s="21" t="n">
        <f aca="false">Y11+Z9+Z10</f>
        <v>10</v>
      </c>
      <c r="AA11" s="21" t="n">
        <f aca="false">Z11+AA9+AA10</f>
        <v>11</v>
      </c>
      <c r="AB11" s="21" t="n">
        <f aca="false">AA11+AB9+AB10</f>
        <v>11</v>
      </c>
      <c r="AC11" s="21" t="n">
        <f aca="false">AB11+AC9+AC10</f>
        <v>12</v>
      </c>
      <c r="AD11" s="21" t="n">
        <f aca="false">AC11+AD9+AD10</f>
        <v>13</v>
      </c>
      <c r="AE11" s="21" t="n">
        <f aca="false">AD11+AE9+AE10</f>
        <v>13</v>
      </c>
      <c r="AF11" s="21" t="n">
        <f aca="false">AE11+AF9+AF10</f>
        <v>14</v>
      </c>
      <c r="AG11" s="21" t="n">
        <f aca="false">AF11+AG9+AG10</f>
        <v>15</v>
      </c>
      <c r="AH11" s="21" t="n">
        <f aca="false">AG11+AH9+AH10</f>
        <v>16</v>
      </c>
      <c r="AI11" s="21" t="n">
        <f aca="false">AH11+AI9+AI10</f>
        <v>16</v>
      </c>
      <c r="AJ11" s="21" t="n">
        <f aca="false">AI11+AJ9+AJ10</f>
        <v>17</v>
      </c>
      <c r="AK11" s="21" t="n">
        <f aca="false">AJ11+AK9+AK10</f>
        <v>18</v>
      </c>
      <c r="AL11" s="21" t="n">
        <f aca="false">AK11+AL9+AL10</f>
        <v>19</v>
      </c>
    </row>
    <row r="12" customFormat="false" ht="15" hidden="false" customHeight="false" outlineLevel="0" collapsed="false">
      <c r="A12" s="2" t="s">
        <v>198</v>
      </c>
      <c r="B12" s="4"/>
      <c r="C12" s="24" t="n">
        <f aca="false">0+0</f>
        <v>0</v>
      </c>
      <c r="D12" s="24" t="n">
        <f aca="false">C12+C9</f>
        <v>0</v>
      </c>
      <c r="E12" s="24" t="n">
        <f aca="false">D12+D9</f>
        <v>0</v>
      </c>
      <c r="F12" s="24" t="n">
        <f aca="false">E12+E9</f>
        <v>0</v>
      </c>
      <c r="G12" s="24" t="n">
        <f aca="false">F12+F9</f>
        <v>0</v>
      </c>
      <c r="H12" s="24" t="n">
        <f aca="false">G12+G9</f>
        <v>1</v>
      </c>
      <c r="I12" s="24" t="n">
        <f aca="false">H12+H9</f>
        <v>1</v>
      </c>
      <c r="J12" s="24" t="n">
        <f aca="false">I12+I9</f>
        <v>1</v>
      </c>
      <c r="K12" s="24" t="n">
        <f aca="false">J12+J9</f>
        <v>2</v>
      </c>
      <c r="L12" s="24" t="n">
        <f aca="false">K12+K9</f>
        <v>2</v>
      </c>
      <c r="M12" s="24" t="n">
        <f aca="false">L12+L9</f>
        <v>2</v>
      </c>
      <c r="N12" s="24" t="n">
        <f aca="false">M12+M9</f>
        <v>3</v>
      </c>
      <c r="O12" s="24" t="n">
        <f aca="false">N12+N9</f>
        <v>3</v>
      </c>
      <c r="P12" s="24" t="n">
        <f aca="false">O12+O9</f>
        <v>3</v>
      </c>
      <c r="Q12" s="24" t="n">
        <f aca="false">P12+P9</f>
        <v>3</v>
      </c>
      <c r="R12" s="24" t="n">
        <f aca="false">Q12+Q9</f>
        <v>4</v>
      </c>
      <c r="S12" s="24" t="n">
        <f aca="false">R12+R9</f>
        <v>4</v>
      </c>
      <c r="T12" s="24" t="n">
        <f aca="false">S12+S9</f>
        <v>5</v>
      </c>
      <c r="U12" s="24" t="n">
        <f aca="false">T12+T9</f>
        <v>5</v>
      </c>
      <c r="V12" s="24" t="n">
        <f aca="false">U12+U9</f>
        <v>6</v>
      </c>
      <c r="W12" s="24" t="n">
        <f aca="false">V12+V9</f>
        <v>6</v>
      </c>
      <c r="X12" s="24" t="n">
        <f aca="false">W12+W9</f>
        <v>7</v>
      </c>
      <c r="Y12" s="24" t="n">
        <f aca="false">X12+X9</f>
        <v>8</v>
      </c>
      <c r="Z12" s="24" t="n">
        <f aca="false">Y12+Y9</f>
        <v>8</v>
      </c>
      <c r="AA12" s="24" t="n">
        <f aca="false">Z12+Z9</f>
        <v>9</v>
      </c>
      <c r="AB12" s="24" t="n">
        <f aca="false">AA12+AA9</f>
        <v>10</v>
      </c>
      <c r="AC12" s="24" t="n">
        <f aca="false">AB12+AB9</f>
        <v>10</v>
      </c>
      <c r="AD12" s="24" t="n">
        <f aca="false">AC12+AC9</f>
        <v>11</v>
      </c>
      <c r="AE12" s="24" t="n">
        <f aca="false">AD12+AD9</f>
        <v>12</v>
      </c>
      <c r="AF12" s="24" t="n">
        <f aca="false">AE12+AE9</f>
        <v>12</v>
      </c>
      <c r="AG12" s="24" t="n">
        <f aca="false">AF12+AF9</f>
        <v>13</v>
      </c>
      <c r="AH12" s="24" t="n">
        <f aca="false">AG12+AG9</f>
        <v>14</v>
      </c>
      <c r="AI12" s="24" t="n">
        <f aca="false">AH12+AH9</f>
        <v>15</v>
      </c>
      <c r="AJ12" s="24" t="n">
        <f aca="false">AI12+AI9</f>
        <v>15</v>
      </c>
      <c r="AK12" s="24" t="n">
        <f aca="false">AJ12+AJ9</f>
        <v>16</v>
      </c>
      <c r="AL12" s="24" t="n">
        <f aca="false">AK12+AK9</f>
        <v>17</v>
      </c>
    </row>
    <row r="13" customFormat="false" ht="15" hidden="false" customHeight="false" outlineLevel="0" collapsed="false">
      <c r="A13" s="2" t="s">
        <v>199</v>
      </c>
      <c r="B13" s="4"/>
      <c r="C13" s="21" t="n">
        <f aca="false">IF(C$2&gt;Inputs!$C$6+Inputs!$C$12,1,0)</f>
        <v>0</v>
      </c>
      <c r="D13" s="21" t="n">
        <f aca="false">IF(D$2&gt;Inputs!$C$6+Inputs!$C$12,1,0)</f>
        <v>0</v>
      </c>
      <c r="E13" s="21" t="n">
        <f aca="false">IF(E$2&gt;Inputs!$C$6+Inputs!$C$12,1,0)</f>
        <v>0</v>
      </c>
      <c r="F13" s="21" t="n">
        <f aca="false">IF(F$2&gt;Inputs!$C$6+Inputs!$C$12,1,0)</f>
        <v>1</v>
      </c>
      <c r="G13" s="21" t="n">
        <f aca="false">IF(G$2&gt;Inputs!$C$6+Inputs!$C$12,1,0)</f>
        <v>1</v>
      </c>
      <c r="H13" s="21" t="n">
        <f aca="false">IF(H$2&gt;Inputs!$C$6+Inputs!$C$12,1,0)</f>
        <v>1</v>
      </c>
      <c r="I13" s="21" t="n">
        <f aca="false">IF(I$2&gt;Inputs!$C$6+Inputs!$C$12,1,0)</f>
        <v>1</v>
      </c>
      <c r="J13" s="21" t="n">
        <f aca="false">IF(J$2&gt;Inputs!$C$6+Inputs!$C$12,1,0)</f>
        <v>1</v>
      </c>
      <c r="K13" s="21" t="n">
        <f aca="false">IF(K$2&gt;Inputs!$C$6+Inputs!$C$12,1,0)</f>
        <v>1</v>
      </c>
      <c r="L13" s="21" t="n">
        <f aca="false">IF(L$2&gt;Inputs!$C$6+Inputs!$C$12,1,0)</f>
        <v>1</v>
      </c>
      <c r="M13" s="21" t="n">
        <f aca="false">IF(M$2&gt;Inputs!$C$6+Inputs!$C$12,1,0)</f>
        <v>1</v>
      </c>
      <c r="N13" s="21" t="n">
        <f aca="false">IF(N$2&gt;Inputs!$C$6+Inputs!$C$12,1,0)</f>
        <v>1</v>
      </c>
      <c r="O13" s="21" t="n">
        <f aca="false">IF(O$2&gt;Inputs!$C$6+Inputs!$C$12,1,0)</f>
        <v>1</v>
      </c>
      <c r="P13" s="21" t="n">
        <f aca="false">IF(P$2&gt;Inputs!$C$6+Inputs!$C$12,1,0)</f>
        <v>1</v>
      </c>
      <c r="Q13" s="21" t="n">
        <f aca="false">IF(Q$2&gt;Inputs!$C$6+Inputs!$C$12,1,0)</f>
        <v>1</v>
      </c>
      <c r="R13" s="21" t="n">
        <f aca="false">IF(R$2&gt;Inputs!$C$6+Inputs!$C$12,1,0)</f>
        <v>1</v>
      </c>
      <c r="S13" s="21" t="n">
        <f aca="false">IF(S$2&gt;Inputs!$C$6+Inputs!$C$12,1,0)</f>
        <v>1</v>
      </c>
      <c r="T13" s="21" t="n">
        <f aca="false">IF(T$2&gt;Inputs!$C$6+Inputs!$C$12,1,0)</f>
        <v>1</v>
      </c>
      <c r="U13" s="21" t="n">
        <f aca="false">IF(U$2&gt;Inputs!$C$6+Inputs!$C$12,1,0)</f>
        <v>1</v>
      </c>
      <c r="V13" s="21" t="n">
        <f aca="false">IF(V$2&gt;Inputs!$C$6+Inputs!$C$12,1,0)</f>
        <v>1</v>
      </c>
      <c r="W13" s="21" t="n">
        <f aca="false">IF(W$2&gt;Inputs!$C$6+Inputs!$C$12,1,0)</f>
        <v>1</v>
      </c>
      <c r="X13" s="21" t="n">
        <f aca="false">IF(X$2&gt;Inputs!$C$6+Inputs!$C$12,1,0)</f>
        <v>1</v>
      </c>
      <c r="Y13" s="21" t="n">
        <f aca="false">IF(Y$2&gt;Inputs!$C$6+Inputs!$C$12,1,0)</f>
        <v>1</v>
      </c>
      <c r="Z13" s="21" t="n">
        <f aca="false">IF(Z$2&gt;Inputs!$C$6+Inputs!$C$12,1,0)</f>
        <v>1</v>
      </c>
      <c r="AA13" s="21" t="n">
        <f aca="false">IF(AA$2&gt;Inputs!$C$6+Inputs!$C$12,1,0)</f>
        <v>1</v>
      </c>
      <c r="AB13" s="21" t="n">
        <f aca="false">IF(AB$2&gt;Inputs!$C$6+Inputs!$C$12,1,0)</f>
        <v>1</v>
      </c>
      <c r="AC13" s="21" t="n">
        <f aca="false">IF(AC$2&gt;Inputs!$C$6+Inputs!$C$12,1,0)</f>
        <v>1</v>
      </c>
      <c r="AD13" s="21" t="n">
        <f aca="false">IF(AD$2&gt;Inputs!$C$6+Inputs!$C$12,1,0)</f>
        <v>1</v>
      </c>
      <c r="AE13" s="21" t="n">
        <f aca="false">IF(AE$2&gt;Inputs!$C$6+Inputs!$C$12,1,0)</f>
        <v>1</v>
      </c>
      <c r="AF13" s="21" t="n">
        <f aca="false">IF(AF$2&gt;Inputs!$C$6+Inputs!$C$12,1,0)</f>
        <v>1</v>
      </c>
      <c r="AG13" s="21" t="n">
        <f aca="false">IF(AG$2&gt;Inputs!$C$6+Inputs!$C$12,1,0)</f>
        <v>1</v>
      </c>
      <c r="AH13" s="21" t="n">
        <f aca="false">IF(AH$2&gt;Inputs!$C$6+Inputs!$C$12,1,0)</f>
        <v>1</v>
      </c>
      <c r="AI13" s="21" t="n">
        <f aca="false">IF(AI$2&gt;Inputs!$C$6+Inputs!$C$12,1,0)</f>
        <v>1</v>
      </c>
      <c r="AJ13" s="21" t="n">
        <f aca="false">IF(AJ$2&gt;Inputs!$C$6+Inputs!$C$12,1,0)</f>
        <v>1</v>
      </c>
      <c r="AK13" s="21" t="n">
        <f aca="false">IF(AK$2&gt;Inputs!$C$6+Inputs!$C$12,1,0)</f>
        <v>1</v>
      </c>
      <c r="AL13" s="21" t="n">
        <f aca="false">IF(AL$2&gt;Inputs!$C$6+Inputs!$C$12,1,0)</f>
        <v>1</v>
      </c>
    </row>
    <row r="14" customFormat="false" ht="15" hidden="false" customHeight="false" outlineLevel="0" collapsed="false">
      <c r="A14" s="2" t="s">
        <v>200</v>
      </c>
      <c r="B14" s="4"/>
      <c r="C14" s="21" t="n">
        <f aca="false">IF(C$2-Inputs!$C$16&gt;=1,INDEX($C$11:$AL$11,C$2-Inputs!$C$16),0)</f>
        <v>0</v>
      </c>
      <c r="D14" s="21" t="n">
        <f aca="false">IF(D$2-Inputs!$C$16&gt;=1,INDEX($C$11:$AL$11,D$2-Inputs!$C$16),0)</f>
        <v>0</v>
      </c>
      <c r="E14" s="21" t="n">
        <f aca="false">IF(E$2-Inputs!$C$16&gt;=1,INDEX($C$11:$AL$11,E$2-Inputs!$C$16),0)</f>
        <v>0</v>
      </c>
      <c r="F14" s="21" t="n">
        <f aca="false">IF(F$2-Inputs!$C$16&gt;=1,INDEX($C$11:$AL$11,F$2-Inputs!$C$16),0)</f>
        <v>0</v>
      </c>
      <c r="G14" s="21" t="n">
        <f aca="false">IF(G$2-Inputs!$C$16&gt;=1,INDEX($C$11:$AL$11,G$2-Inputs!$C$16),0)</f>
        <v>0</v>
      </c>
      <c r="H14" s="21" t="n">
        <f aca="false">IF(H$2-Inputs!$C$16&gt;=1,INDEX($C$11:$AL$11,H$2-Inputs!$C$16),0)</f>
        <v>1</v>
      </c>
      <c r="I14" s="21" t="n">
        <f aca="false">IF(I$2-Inputs!$C$16&gt;=1,INDEX($C$11:$AL$11,I$2-Inputs!$C$16),0)</f>
        <v>1</v>
      </c>
      <c r="J14" s="21" t="n">
        <f aca="false">IF(J$2-Inputs!$C$16&gt;=1,INDEX($C$11:$AL$11,J$2-Inputs!$C$16),0)</f>
        <v>2</v>
      </c>
      <c r="K14" s="21" t="n">
        <f aca="false">IF(K$2-Inputs!$C$16&gt;=1,INDEX($C$11:$AL$11,K$2-Inputs!$C$16),0)</f>
        <v>2</v>
      </c>
      <c r="L14" s="21" t="n">
        <f aca="false">IF(L$2-Inputs!$C$16&gt;=1,INDEX($C$11:$AL$11,L$2-Inputs!$C$16),0)</f>
        <v>2</v>
      </c>
      <c r="M14" s="21" t="n">
        <f aca="false">IF(M$2-Inputs!$C$16&gt;=1,INDEX($C$11:$AL$11,M$2-Inputs!$C$16),0)</f>
        <v>3</v>
      </c>
      <c r="N14" s="21" t="n">
        <f aca="false">IF(N$2-Inputs!$C$16&gt;=1,INDEX($C$11:$AL$11,N$2-Inputs!$C$16),0)</f>
        <v>3</v>
      </c>
      <c r="O14" s="21" t="n">
        <f aca="false">IF(O$2-Inputs!$C$16&gt;=1,INDEX($C$11:$AL$11,O$2-Inputs!$C$16),0)</f>
        <v>3</v>
      </c>
      <c r="P14" s="21" t="n">
        <f aca="false">IF(P$2-Inputs!$C$16&gt;=1,INDEX($C$11:$AL$11,P$2-Inputs!$C$16),0)</f>
        <v>4</v>
      </c>
      <c r="Q14" s="21" t="n">
        <f aca="false">IF(Q$2-Inputs!$C$16&gt;=1,INDEX($C$11:$AL$11,Q$2-Inputs!$C$16),0)</f>
        <v>4</v>
      </c>
      <c r="R14" s="21" t="n">
        <f aca="false">IF(R$2-Inputs!$C$16&gt;=1,INDEX($C$11:$AL$11,R$2-Inputs!$C$16),0)</f>
        <v>4</v>
      </c>
      <c r="S14" s="21" t="n">
        <f aca="false">IF(S$2-Inputs!$C$16&gt;=1,INDEX($C$11:$AL$11,S$2-Inputs!$C$16),0)</f>
        <v>4</v>
      </c>
      <c r="T14" s="21" t="n">
        <f aca="false">IF(T$2-Inputs!$C$16&gt;=1,INDEX($C$11:$AL$11,T$2-Inputs!$C$16),0)</f>
        <v>5</v>
      </c>
      <c r="U14" s="21" t="n">
        <f aca="false">IF(U$2-Inputs!$C$16&gt;=1,INDEX($C$11:$AL$11,U$2-Inputs!$C$16),0)</f>
        <v>5</v>
      </c>
      <c r="V14" s="21" t="n">
        <f aca="false">IF(V$2-Inputs!$C$16&gt;=1,INDEX($C$11:$AL$11,V$2-Inputs!$C$16),0)</f>
        <v>6</v>
      </c>
      <c r="W14" s="21" t="n">
        <f aca="false">IF(W$2-Inputs!$C$16&gt;=1,INDEX($C$11:$AL$11,W$2-Inputs!$C$16),0)</f>
        <v>6</v>
      </c>
      <c r="X14" s="21" t="n">
        <f aca="false">IF(X$2-Inputs!$C$16&gt;=1,INDEX($C$11:$AL$11,X$2-Inputs!$C$16),0)</f>
        <v>7</v>
      </c>
      <c r="Y14" s="21" t="n">
        <f aca="false">IF(Y$2-Inputs!$C$16&gt;=1,INDEX($C$11:$AL$11,Y$2-Inputs!$C$16),0)</f>
        <v>7</v>
      </c>
      <c r="Z14" s="21" t="n">
        <f aca="false">IF(Z$2-Inputs!$C$16&gt;=1,INDEX($C$11:$AL$11,Z$2-Inputs!$C$16),0)</f>
        <v>8</v>
      </c>
      <c r="AA14" s="21" t="n">
        <f aca="false">IF(AA$2-Inputs!$C$16&gt;=1,INDEX($C$11:$AL$11,AA$2-Inputs!$C$16),0)</f>
        <v>9</v>
      </c>
      <c r="AB14" s="21" t="n">
        <f aca="false">IF(AB$2-Inputs!$C$16&gt;=1,INDEX($C$11:$AL$11,AB$2-Inputs!$C$16),0)</f>
        <v>9</v>
      </c>
      <c r="AC14" s="21" t="n">
        <f aca="false">IF(AC$2-Inputs!$C$16&gt;=1,INDEX($C$11:$AL$11,AC$2-Inputs!$C$16),0)</f>
        <v>10</v>
      </c>
      <c r="AD14" s="21" t="n">
        <f aca="false">IF(AD$2-Inputs!$C$16&gt;=1,INDEX($C$11:$AL$11,AD$2-Inputs!$C$16),0)</f>
        <v>11</v>
      </c>
      <c r="AE14" s="21" t="n">
        <f aca="false">IF(AE$2-Inputs!$C$16&gt;=1,INDEX($C$11:$AL$11,AE$2-Inputs!$C$16),0)</f>
        <v>11</v>
      </c>
      <c r="AF14" s="21" t="n">
        <f aca="false">IF(AF$2-Inputs!$C$16&gt;=1,INDEX($C$11:$AL$11,AF$2-Inputs!$C$16),0)</f>
        <v>12</v>
      </c>
      <c r="AG14" s="21" t="n">
        <f aca="false">IF(AG$2-Inputs!$C$16&gt;=1,INDEX($C$11:$AL$11,AG$2-Inputs!$C$16),0)</f>
        <v>13</v>
      </c>
      <c r="AH14" s="21" t="n">
        <f aca="false">IF(AH$2-Inputs!$C$16&gt;=1,INDEX($C$11:$AL$11,AH$2-Inputs!$C$16),0)</f>
        <v>13</v>
      </c>
      <c r="AI14" s="21" t="n">
        <f aca="false">IF(AI$2-Inputs!$C$16&gt;=1,INDEX($C$11:$AL$11,AI$2-Inputs!$C$16),0)</f>
        <v>14</v>
      </c>
      <c r="AJ14" s="21" t="n">
        <f aca="false">IF(AJ$2-Inputs!$C$16&gt;=1,INDEX($C$11:$AL$11,AJ$2-Inputs!$C$16),0)</f>
        <v>15</v>
      </c>
      <c r="AK14" s="21" t="n">
        <f aca="false">IF(AK$2-Inputs!$C$16&gt;=1,INDEX($C$11:$AL$11,AK$2-Inputs!$C$16),0)</f>
        <v>16</v>
      </c>
      <c r="AL14" s="21" t="n">
        <f aca="false">IF(AL$2-Inputs!$C$16&gt;=1,INDEX($C$11:$AL$11,AL$2-Inputs!$C$16),0)</f>
        <v>16</v>
      </c>
    </row>
    <row r="15" customFormat="false" ht="15" hidden="false" customHeight="false" outlineLevel="0" collapsed="false">
      <c r="A15" s="2" t="s">
        <v>201</v>
      </c>
      <c r="B15" s="4"/>
      <c r="C15" s="9" t="n">
        <f aca="false">Schedules!C7</f>
        <v>0</v>
      </c>
      <c r="D15" s="9" t="n">
        <f aca="false">Schedules!D7</f>
        <v>0</v>
      </c>
      <c r="E15" s="9" t="n">
        <f aca="false">Schedules!E7</f>
        <v>0</v>
      </c>
      <c r="F15" s="9" t="n">
        <f aca="false">Schedules!F7</f>
        <v>0</v>
      </c>
      <c r="G15" s="9" t="n">
        <f aca="false">Schedules!G7</f>
        <v>0</v>
      </c>
      <c r="H15" s="9" t="n">
        <f aca="false">Schedules!H7</f>
        <v>0</v>
      </c>
      <c r="I15" s="9" t="n">
        <f aca="false">Schedules!I7</f>
        <v>0</v>
      </c>
      <c r="J15" s="9" t="n">
        <f aca="false">Schedules!J7</f>
        <v>0</v>
      </c>
      <c r="K15" s="9" t="n">
        <f aca="false">Schedules!K7</f>
        <v>0</v>
      </c>
      <c r="L15" s="9" t="n">
        <f aca="false">Schedules!L7</f>
        <v>0</v>
      </c>
      <c r="M15" s="9" t="n">
        <f aca="false">Schedules!M7</f>
        <v>0</v>
      </c>
      <c r="N15" s="9" t="n">
        <f aca="false">Schedules!N7</f>
        <v>0</v>
      </c>
      <c r="O15" s="9" t="n">
        <f aca="false">Schedules!O7</f>
        <v>0</v>
      </c>
      <c r="P15" s="9" t="n">
        <f aca="false">Schedules!P7</f>
        <v>0</v>
      </c>
      <c r="Q15" s="9" t="n">
        <f aca="false">Schedules!Q7</f>
        <v>0</v>
      </c>
      <c r="R15" s="9" t="n">
        <f aca="false">Schedules!R7</f>
        <v>0</v>
      </c>
      <c r="S15" s="9" t="n">
        <f aca="false">Schedules!S7</f>
        <v>0</v>
      </c>
      <c r="T15" s="9" t="n">
        <f aca="false">Schedules!T7</f>
        <v>0</v>
      </c>
      <c r="U15" s="9" t="n">
        <f aca="false">Schedules!U7</f>
        <v>0</v>
      </c>
      <c r="V15" s="9" t="n">
        <f aca="false">Schedules!V7</f>
        <v>0</v>
      </c>
      <c r="W15" s="9" t="n">
        <f aca="false">Schedules!W7</f>
        <v>0</v>
      </c>
      <c r="X15" s="9" t="n">
        <f aca="false">Schedules!X7</f>
        <v>0</v>
      </c>
      <c r="Y15" s="9" t="n">
        <f aca="false">Schedules!Y7</f>
        <v>0</v>
      </c>
      <c r="Z15" s="9" t="n">
        <f aca="false">Schedules!Z7</f>
        <v>0</v>
      </c>
      <c r="AA15" s="9" t="n">
        <f aca="false">Schedules!AA7</f>
        <v>0</v>
      </c>
      <c r="AB15" s="9" t="n">
        <f aca="false">Schedules!AB7</f>
        <v>0</v>
      </c>
      <c r="AC15" s="9" t="n">
        <f aca="false">Schedules!AC7</f>
        <v>0</v>
      </c>
      <c r="AD15" s="9" t="n">
        <f aca="false">Schedules!AD7</f>
        <v>0</v>
      </c>
      <c r="AE15" s="9" t="n">
        <f aca="false">Schedules!AE7</f>
        <v>0</v>
      </c>
      <c r="AF15" s="9" t="n">
        <f aca="false">Schedules!AF7</f>
        <v>0</v>
      </c>
      <c r="AG15" s="9" t="n">
        <f aca="false">Schedules!AG7</f>
        <v>0</v>
      </c>
      <c r="AH15" s="9" t="n">
        <f aca="false">Schedules!AH7</f>
        <v>0</v>
      </c>
      <c r="AI15" s="9" t="n">
        <f aca="false">Schedules!AI7</f>
        <v>0</v>
      </c>
      <c r="AJ15" s="9" t="n">
        <f aca="false">Schedules!AJ7</f>
        <v>0</v>
      </c>
      <c r="AK15" s="9" t="n">
        <f aca="false">Schedules!AK7</f>
        <v>0</v>
      </c>
      <c r="AL15" s="9" t="n">
        <f aca="false">Schedules!AL7</f>
        <v>0</v>
      </c>
    </row>
    <row r="16" customFormat="false" ht="15" hidden="false" customHeight="false" outlineLevel="0" collapsed="false">
      <c r="A16" s="2" t="s">
        <v>202</v>
      </c>
      <c r="B16" s="4"/>
      <c r="C16" s="21" t="n">
        <f aca="false">0+0</f>
        <v>0</v>
      </c>
      <c r="D16" s="21" t="n">
        <f aca="false">C16+C15</f>
        <v>0</v>
      </c>
      <c r="E16" s="21" t="n">
        <f aca="false">D16+D15</f>
        <v>0</v>
      </c>
      <c r="F16" s="21" t="n">
        <f aca="false">E16+E15</f>
        <v>0</v>
      </c>
      <c r="G16" s="21" t="n">
        <f aca="false">F16+F15</f>
        <v>0</v>
      </c>
      <c r="H16" s="21" t="n">
        <f aca="false">G16+G15</f>
        <v>0</v>
      </c>
      <c r="I16" s="21" t="n">
        <f aca="false">H16+H15</f>
        <v>0</v>
      </c>
      <c r="J16" s="21" t="n">
        <f aca="false">I16+I15</f>
        <v>0</v>
      </c>
      <c r="K16" s="21" t="n">
        <f aca="false">J16+J15</f>
        <v>0</v>
      </c>
      <c r="L16" s="21" t="n">
        <f aca="false">K16+K15</f>
        <v>0</v>
      </c>
      <c r="M16" s="21" t="n">
        <f aca="false">L16+L15</f>
        <v>0</v>
      </c>
      <c r="N16" s="21" t="n">
        <f aca="false">M16+M15</f>
        <v>0</v>
      </c>
      <c r="O16" s="21" t="n">
        <f aca="false">N16+N15</f>
        <v>0</v>
      </c>
      <c r="P16" s="21" t="n">
        <f aca="false">O16+O15</f>
        <v>0</v>
      </c>
      <c r="Q16" s="21" t="n">
        <f aca="false">P16+P15</f>
        <v>0</v>
      </c>
      <c r="R16" s="21" t="n">
        <f aca="false">Q16+Q15</f>
        <v>0</v>
      </c>
      <c r="S16" s="21" t="n">
        <f aca="false">R16+R15</f>
        <v>0</v>
      </c>
      <c r="T16" s="21" t="n">
        <f aca="false">S16+S15</f>
        <v>0</v>
      </c>
      <c r="U16" s="21" t="n">
        <f aca="false">T16+T15</f>
        <v>0</v>
      </c>
      <c r="V16" s="21" t="n">
        <f aca="false">U16+U15</f>
        <v>0</v>
      </c>
      <c r="W16" s="21" t="n">
        <f aca="false">V16+V15</f>
        <v>0</v>
      </c>
      <c r="X16" s="21" t="n">
        <f aca="false">W16+W15</f>
        <v>0</v>
      </c>
      <c r="Y16" s="21" t="n">
        <f aca="false">X16+X15</f>
        <v>0</v>
      </c>
      <c r="Z16" s="21" t="n">
        <f aca="false">Y16+Y15</f>
        <v>0</v>
      </c>
      <c r="AA16" s="21" t="n">
        <f aca="false">Z16+Z15</f>
        <v>0</v>
      </c>
      <c r="AB16" s="21" t="n">
        <f aca="false">AA16+AA15</f>
        <v>0</v>
      </c>
      <c r="AC16" s="21" t="n">
        <f aca="false">AB16+AB15</f>
        <v>0</v>
      </c>
      <c r="AD16" s="21" t="n">
        <f aca="false">AC16+AC15</f>
        <v>0</v>
      </c>
      <c r="AE16" s="21" t="n">
        <f aca="false">AD16+AD15</f>
        <v>0</v>
      </c>
      <c r="AF16" s="21" t="n">
        <f aca="false">AE16+AE15</f>
        <v>0</v>
      </c>
      <c r="AG16" s="21" t="n">
        <f aca="false">AF16+AF15</f>
        <v>0</v>
      </c>
      <c r="AH16" s="21" t="n">
        <f aca="false">AG16+AG15</f>
        <v>0</v>
      </c>
      <c r="AI16" s="21" t="n">
        <f aca="false">AH16+AH15</f>
        <v>0</v>
      </c>
      <c r="AJ16" s="21" t="n">
        <f aca="false">AI16+AI15</f>
        <v>0</v>
      </c>
      <c r="AK16" s="21" t="n">
        <f aca="false">AJ16+AJ15</f>
        <v>0</v>
      </c>
      <c r="AL16" s="21" t="n">
        <f aca="false">AK16+AK15</f>
        <v>0</v>
      </c>
    </row>
    <row r="17" customFormat="false" ht="15" hidden="false" customHeight="false" outlineLevel="0" collapsed="false">
      <c r="A17" s="14" t="s">
        <v>203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 customFormat="false" ht="15" hidden="false" customHeight="false" outlineLevel="0" collapsed="false">
      <c r="A18" s="2" t="s">
        <v>204</v>
      </c>
      <c r="B18" s="4"/>
      <c r="C18" s="25" t="n">
        <f aca="false">(1+Inputs!$C$13)^(C$3-1)</f>
        <v>1</v>
      </c>
      <c r="D18" s="25" t="n">
        <f aca="false">(1+Inputs!$C$13)^(D$3-1)</f>
        <v>1</v>
      </c>
      <c r="E18" s="25" t="n">
        <f aca="false">(1+Inputs!$C$13)^(E$3-1)</f>
        <v>1</v>
      </c>
      <c r="F18" s="25" t="n">
        <f aca="false">(1+Inputs!$C$13)^(F$3-1)</f>
        <v>1</v>
      </c>
      <c r="G18" s="25" t="n">
        <f aca="false">(1+Inputs!$C$13)^(G$3-1)</f>
        <v>1</v>
      </c>
      <c r="H18" s="25" t="n">
        <f aca="false">(1+Inputs!$C$13)^(H$3-1)</f>
        <v>1</v>
      </c>
      <c r="I18" s="25" t="n">
        <f aca="false">(1+Inputs!$C$13)^(I$3-1)</f>
        <v>1</v>
      </c>
      <c r="J18" s="25" t="n">
        <f aca="false">(1+Inputs!$C$13)^(J$3-1)</f>
        <v>1</v>
      </c>
      <c r="K18" s="25" t="n">
        <f aca="false">(1+Inputs!$C$13)^(K$3-1)</f>
        <v>1</v>
      </c>
      <c r="L18" s="25" t="n">
        <f aca="false">(1+Inputs!$C$13)^(L$3-1)</f>
        <v>1</v>
      </c>
      <c r="M18" s="25" t="n">
        <f aca="false">(1+Inputs!$C$13)^(M$3-1)</f>
        <v>1</v>
      </c>
      <c r="N18" s="25" t="n">
        <f aca="false">(1+Inputs!$C$13)^(N$3-1)</f>
        <v>1</v>
      </c>
      <c r="O18" s="25" t="n">
        <f aca="false">(1+Inputs!$C$13)^(O$3-1)</f>
        <v>1.05</v>
      </c>
      <c r="P18" s="25" t="n">
        <f aca="false">(1+Inputs!$C$13)^(P$3-1)</f>
        <v>1.05</v>
      </c>
      <c r="Q18" s="25" t="n">
        <f aca="false">(1+Inputs!$C$13)^(Q$3-1)</f>
        <v>1.05</v>
      </c>
      <c r="R18" s="25" t="n">
        <f aca="false">(1+Inputs!$C$13)^(R$3-1)</f>
        <v>1.05</v>
      </c>
      <c r="S18" s="25" t="n">
        <f aca="false">(1+Inputs!$C$13)^(S$3-1)</f>
        <v>1.05</v>
      </c>
      <c r="T18" s="25" t="n">
        <f aca="false">(1+Inputs!$C$13)^(T$3-1)</f>
        <v>1.05</v>
      </c>
      <c r="U18" s="25" t="n">
        <f aca="false">(1+Inputs!$C$13)^(U$3-1)</f>
        <v>1.05</v>
      </c>
      <c r="V18" s="25" t="n">
        <f aca="false">(1+Inputs!$C$13)^(V$3-1)</f>
        <v>1.05</v>
      </c>
      <c r="W18" s="25" t="n">
        <f aca="false">(1+Inputs!$C$13)^(W$3-1)</f>
        <v>1.05</v>
      </c>
      <c r="X18" s="25" t="n">
        <f aca="false">(1+Inputs!$C$13)^(X$3-1)</f>
        <v>1.05</v>
      </c>
      <c r="Y18" s="25" t="n">
        <f aca="false">(1+Inputs!$C$13)^(Y$3-1)</f>
        <v>1.05</v>
      </c>
      <c r="Z18" s="25" t="n">
        <f aca="false">(1+Inputs!$C$13)^(Z$3-1)</f>
        <v>1.05</v>
      </c>
      <c r="AA18" s="25" t="n">
        <f aca="false">(1+Inputs!$C$13)^(AA$3-1)</f>
        <v>1.1025</v>
      </c>
      <c r="AB18" s="25" t="n">
        <f aca="false">(1+Inputs!$C$13)^(AB$3-1)</f>
        <v>1.1025</v>
      </c>
      <c r="AC18" s="25" t="n">
        <f aca="false">(1+Inputs!$C$13)^(AC$3-1)</f>
        <v>1.1025</v>
      </c>
      <c r="AD18" s="25" t="n">
        <f aca="false">(1+Inputs!$C$13)^(AD$3-1)</f>
        <v>1.1025</v>
      </c>
      <c r="AE18" s="25" t="n">
        <f aca="false">(1+Inputs!$C$13)^(AE$3-1)</f>
        <v>1.1025</v>
      </c>
      <c r="AF18" s="25" t="n">
        <f aca="false">(1+Inputs!$C$13)^(AF$3-1)</f>
        <v>1.1025</v>
      </c>
      <c r="AG18" s="25" t="n">
        <f aca="false">(1+Inputs!$C$13)^(AG$3-1)</f>
        <v>1.1025</v>
      </c>
      <c r="AH18" s="25" t="n">
        <f aca="false">(1+Inputs!$C$13)^(AH$3-1)</f>
        <v>1.1025</v>
      </c>
      <c r="AI18" s="25" t="n">
        <f aca="false">(1+Inputs!$C$13)^(AI$3-1)</f>
        <v>1.1025</v>
      </c>
      <c r="AJ18" s="25" t="n">
        <f aca="false">(1+Inputs!$C$13)^(AJ$3-1)</f>
        <v>1.1025</v>
      </c>
      <c r="AK18" s="25" t="n">
        <f aca="false">(1+Inputs!$C$13)^(AK$3-1)</f>
        <v>1.1025</v>
      </c>
      <c r="AL18" s="25" t="n">
        <f aca="false">(1+Inputs!$C$13)^(AL$3-1)</f>
        <v>1.1025</v>
      </c>
    </row>
    <row r="19" customFormat="false" ht="15" hidden="false" customHeight="false" outlineLevel="0" collapsed="false">
      <c r="A19" s="2" t="s">
        <v>205</v>
      </c>
      <c r="B19" s="4"/>
      <c r="C19" s="11" t="n">
        <f aca="false">(C12*Inputs!$C$10+C13*Inputs!$C$8)*C18</f>
        <v>0</v>
      </c>
      <c r="D19" s="11" t="n">
        <f aca="false">(D12*Inputs!$C$10+D13*Inputs!$C$8)*D18</f>
        <v>0</v>
      </c>
      <c r="E19" s="11" t="n">
        <f aca="false">(E12*Inputs!$C$10+E13*Inputs!$C$8)*E18</f>
        <v>0</v>
      </c>
      <c r="F19" s="11" t="n">
        <f aca="false">(F12*Inputs!$C$10+F13*Inputs!$C$8)*F18</f>
        <v>3800</v>
      </c>
      <c r="G19" s="11" t="n">
        <f aca="false">(G12*Inputs!$C$10+G13*Inputs!$C$8)*G18</f>
        <v>3800</v>
      </c>
      <c r="H19" s="11" t="n">
        <f aca="false">(H12*Inputs!$C$10+H13*Inputs!$C$8)*H18</f>
        <v>6290</v>
      </c>
      <c r="I19" s="11" t="n">
        <f aca="false">(I12*Inputs!$C$10+I13*Inputs!$C$8)*I18</f>
        <v>6290</v>
      </c>
      <c r="J19" s="11" t="n">
        <f aca="false">(J12*Inputs!$C$10+J13*Inputs!$C$8)*J18</f>
        <v>6290</v>
      </c>
      <c r="K19" s="11" t="n">
        <f aca="false">(K12*Inputs!$C$10+K13*Inputs!$C$8)*K18</f>
        <v>8780</v>
      </c>
      <c r="L19" s="11" t="n">
        <f aca="false">(L12*Inputs!$C$10+L13*Inputs!$C$8)*L18</f>
        <v>8780</v>
      </c>
      <c r="M19" s="11" t="n">
        <f aca="false">(M12*Inputs!$C$10+M13*Inputs!$C$8)*M18</f>
        <v>8780</v>
      </c>
      <c r="N19" s="11" t="n">
        <f aca="false">(N12*Inputs!$C$10+N13*Inputs!$C$8)*N18</f>
        <v>11270</v>
      </c>
      <c r="O19" s="11" t="n">
        <f aca="false">(O12*Inputs!$C$10+O13*Inputs!$C$8)*O18</f>
        <v>11833.5</v>
      </c>
      <c r="P19" s="11" t="n">
        <f aca="false">(P12*Inputs!$C$10+P13*Inputs!$C$8)*P18</f>
        <v>11833.5</v>
      </c>
      <c r="Q19" s="11" t="n">
        <f aca="false">(Q12*Inputs!$C$10+Q13*Inputs!$C$8)*Q18</f>
        <v>11833.5</v>
      </c>
      <c r="R19" s="11" t="n">
        <f aca="false">(R12*Inputs!$C$10+R13*Inputs!$C$8)*R18</f>
        <v>14448</v>
      </c>
      <c r="S19" s="11" t="n">
        <f aca="false">(S12*Inputs!$C$10+S13*Inputs!$C$8)*S18</f>
        <v>14448</v>
      </c>
      <c r="T19" s="11" t="n">
        <f aca="false">(T12*Inputs!$C$10+T13*Inputs!$C$8)*T18</f>
        <v>17062.5</v>
      </c>
      <c r="U19" s="11" t="n">
        <f aca="false">(U12*Inputs!$C$10+U13*Inputs!$C$8)*U18</f>
        <v>17062.5</v>
      </c>
      <c r="V19" s="11" t="n">
        <f aca="false">(V12*Inputs!$C$10+V13*Inputs!$C$8)*V18</f>
        <v>19677</v>
      </c>
      <c r="W19" s="11" t="n">
        <f aca="false">(W12*Inputs!$C$10+W13*Inputs!$C$8)*W18</f>
        <v>19677</v>
      </c>
      <c r="X19" s="11" t="n">
        <f aca="false">(X12*Inputs!$C$10+X13*Inputs!$C$8)*X18</f>
        <v>22291.5</v>
      </c>
      <c r="Y19" s="11" t="n">
        <f aca="false">(Y12*Inputs!$C$10+Y13*Inputs!$C$8)*Y18</f>
        <v>24906</v>
      </c>
      <c r="Z19" s="11" t="n">
        <f aca="false">(Z12*Inputs!$C$10+Z13*Inputs!$C$8)*Z18</f>
        <v>24906</v>
      </c>
      <c r="AA19" s="11" t="n">
        <f aca="false">(AA12*Inputs!$C$10+AA13*Inputs!$C$8)*AA18</f>
        <v>28896.525</v>
      </c>
      <c r="AB19" s="11" t="n">
        <f aca="false">(AB12*Inputs!$C$10+AB13*Inputs!$C$8)*AB18</f>
        <v>31641.75</v>
      </c>
      <c r="AC19" s="11" t="n">
        <f aca="false">(AC12*Inputs!$C$10+AC13*Inputs!$C$8)*AC18</f>
        <v>31641.75</v>
      </c>
      <c r="AD19" s="11" t="n">
        <f aca="false">(AD12*Inputs!$C$10+AD13*Inputs!$C$8)*AD18</f>
        <v>34386.975</v>
      </c>
      <c r="AE19" s="11" t="n">
        <f aca="false">(AE12*Inputs!$C$10+AE13*Inputs!$C$8)*AE18</f>
        <v>37132.2</v>
      </c>
      <c r="AF19" s="11" t="n">
        <f aca="false">(AF12*Inputs!$C$10+AF13*Inputs!$C$8)*AF18</f>
        <v>37132.2</v>
      </c>
      <c r="AG19" s="11" t="n">
        <f aca="false">(AG12*Inputs!$C$10+AG13*Inputs!$C$8)*AG18</f>
        <v>39877.425</v>
      </c>
      <c r="AH19" s="11" t="n">
        <f aca="false">(AH12*Inputs!$C$10+AH13*Inputs!$C$8)*AH18</f>
        <v>42622.65</v>
      </c>
      <c r="AI19" s="11" t="n">
        <f aca="false">(AI12*Inputs!$C$10+AI13*Inputs!$C$8)*AI18</f>
        <v>45367.875</v>
      </c>
      <c r="AJ19" s="11" t="n">
        <f aca="false">(AJ12*Inputs!$C$10+AJ13*Inputs!$C$8)*AJ18</f>
        <v>45367.875</v>
      </c>
      <c r="AK19" s="11" t="n">
        <f aca="false">(AK12*Inputs!$C$10+AK13*Inputs!$C$8)*AK18</f>
        <v>48113.1</v>
      </c>
      <c r="AL19" s="11" t="n">
        <f aca="false">(AL12*Inputs!$C$10+AL13*Inputs!$C$8)*AL18</f>
        <v>50858.325</v>
      </c>
    </row>
    <row r="20" customFormat="false" ht="15" hidden="false" customHeight="false" outlineLevel="0" collapsed="false">
      <c r="A20" s="2" t="s">
        <v>112</v>
      </c>
      <c r="B20" s="4"/>
      <c r="C20" s="11" t="n">
        <f aca="false">C14*Inputs!$C$14*Inputs!$C$15*C18</f>
        <v>0</v>
      </c>
      <c r="D20" s="11" t="n">
        <f aca="false">D14*Inputs!$C$14*Inputs!$C$15*D18</f>
        <v>0</v>
      </c>
      <c r="E20" s="11" t="n">
        <f aca="false">E14*Inputs!$C$14*Inputs!$C$15*E18</f>
        <v>0</v>
      </c>
      <c r="F20" s="11" t="n">
        <f aca="false">F14*Inputs!$C$14*Inputs!$C$15*F18</f>
        <v>0</v>
      </c>
      <c r="G20" s="11" t="n">
        <f aca="false">G14*Inputs!$C$14*Inputs!$C$15*G18</f>
        <v>0</v>
      </c>
      <c r="H20" s="11" t="n">
        <f aca="false">H14*Inputs!$C$14*Inputs!$C$15*H18</f>
        <v>523.5</v>
      </c>
      <c r="I20" s="11" t="n">
        <f aca="false">I14*Inputs!$C$14*Inputs!$C$15*I18</f>
        <v>523.5</v>
      </c>
      <c r="J20" s="11" t="n">
        <f aca="false">J14*Inputs!$C$14*Inputs!$C$15*J18</f>
        <v>1047</v>
      </c>
      <c r="K20" s="11" t="n">
        <f aca="false">K14*Inputs!$C$14*Inputs!$C$15*K18</f>
        <v>1047</v>
      </c>
      <c r="L20" s="11" t="n">
        <f aca="false">L14*Inputs!$C$14*Inputs!$C$15*L18</f>
        <v>1047</v>
      </c>
      <c r="M20" s="11" t="n">
        <f aca="false">M14*Inputs!$C$14*Inputs!$C$15*M18</f>
        <v>1570.5</v>
      </c>
      <c r="N20" s="11" t="n">
        <f aca="false">N14*Inputs!$C$14*Inputs!$C$15*N18</f>
        <v>1570.5</v>
      </c>
      <c r="O20" s="11" t="n">
        <f aca="false">O14*Inputs!$C$14*Inputs!$C$15*O18</f>
        <v>1649.025</v>
      </c>
      <c r="P20" s="11" t="n">
        <f aca="false">P14*Inputs!$C$14*Inputs!$C$15*P18</f>
        <v>2198.7</v>
      </c>
      <c r="Q20" s="11" t="n">
        <f aca="false">Q14*Inputs!$C$14*Inputs!$C$15*Q18</f>
        <v>2198.7</v>
      </c>
      <c r="R20" s="11" t="n">
        <f aca="false">R14*Inputs!$C$14*Inputs!$C$15*R18</f>
        <v>2198.7</v>
      </c>
      <c r="S20" s="11" t="n">
        <f aca="false">S14*Inputs!$C$14*Inputs!$C$15*S18</f>
        <v>2198.7</v>
      </c>
      <c r="T20" s="11" t="n">
        <f aca="false">T14*Inputs!$C$14*Inputs!$C$15*T18</f>
        <v>2748.375</v>
      </c>
      <c r="U20" s="11" t="n">
        <f aca="false">U14*Inputs!$C$14*Inputs!$C$15*U18</f>
        <v>2748.375</v>
      </c>
      <c r="V20" s="11" t="n">
        <f aca="false">V14*Inputs!$C$14*Inputs!$C$15*V18</f>
        <v>3298.05</v>
      </c>
      <c r="W20" s="11" t="n">
        <f aca="false">W14*Inputs!$C$14*Inputs!$C$15*W18</f>
        <v>3298.05</v>
      </c>
      <c r="X20" s="11" t="n">
        <f aca="false">X14*Inputs!$C$14*Inputs!$C$15*X18</f>
        <v>3847.725</v>
      </c>
      <c r="Y20" s="11" t="n">
        <f aca="false">Y14*Inputs!$C$14*Inputs!$C$15*Y18</f>
        <v>3847.725</v>
      </c>
      <c r="Z20" s="11" t="n">
        <f aca="false">Z14*Inputs!$C$14*Inputs!$C$15*Z18</f>
        <v>4397.4</v>
      </c>
      <c r="AA20" s="11" t="n">
        <f aca="false">AA14*Inputs!$C$14*Inputs!$C$15*AA18</f>
        <v>5194.42875</v>
      </c>
      <c r="AB20" s="11" t="n">
        <f aca="false">AB14*Inputs!$C$14*Inputs!$C$15*AB18</f>
        <v>5194.42875</v>
      </c>
      <c r="AC20" s="11" t="n">
        <f aca="false">AC14*Inputs!$C$14*Inputs!$C$15*AC18</f>
        <v>5771.5875</v>
      </c>
      <c r="AD20" s="11" t="n">
        <f aca="false">AD14*Inputs!$C$14*Inputs!$C$15*AD18</f>
        <v>6348.74625</v>
      </c>
      <c r="AE20" s="11" t="n">
        <f aca="false">AE14*Inputs!$C$14*Inputs!$C$15*AE18</f>
        <v>6348.74625</v>
      </c>
      <c r="AF20" s="11" t="n">
        <f aca="false">AF14*Inputs!$C$14*Inputs!$C$15*AF18</f>
        <v>6925.905</v>
      </c>
      <c r="AG20" s="11" t="n">
        <f aca="false">AG14*Inputs!$C$14*Inputs!$C$15*AG18</f>
        <v>7503.06375</v>
      </c>
      <c r="AH20" s="11" t="n">
        <f aca="false">AH14*Inputs!$C$14*Inputs!$C$15*AH18</f>
        <v>7503.06375</v>
      </c>
      <c r="AI20" s="11" t="n">
        <f aca="false">AI14*Inputs!$C$14*Inputs!$C$15*AI18</f>
        <v>8080.2225</v>
      </c>
      <c r="AJ20" s="11" t="n">
        <f aca="false">AJ14*Inputs!$C$14*Inputs!$C$15*AJ18</f>
        <v>8657.38125</v>
      </c>
      <c r="AK20" s="11" t="n">
        <f aca="false">AK14*Inputs!$C$14*Inputs!$C$15*AK18</f>
        <v>9234.54</v>
      </c>
      <c r="AL20" s="11" t="n">
        <f aca="false">AL14*Inputs!$C$14*Inputs!$C$15*AL18</f>
        <v>9234.54</v>
      </c>
    </row>
    <row r="21" customFormat="false" ht="15" hidden="false" customHeight="false" outlineLevel="0" collapsed="false">
      <c r="A21" s="2" t="s">
        <v>206</v>
      </c>
      <c r="B21" s="4"/>
      <c r="C21" s="11" t="n">
        <f aca="false">C8*Inputs!$C$9*Inputs!$C$11+C9*Inputs!$C$9*(1-Inputs!$C$11)+C7*Inputs!$C$7*Inputs!$C$11+C10*Inputs!$C$7*(1-Inputs!$C$11)</f>
        <v>0</v>
      </c>
      <c r="D21" s="11" t="n">
        <f aca="false">D8*Inputs!$C$9*Inputs!$C$11+D9*Inputs!$C$9*(1-Inputs!$C$11)+D7*Inputs!$C$7*Inputs!$C$11+D10*Inputs!$C$7*(1-Inputs!$C$11)</f>
        <v>0</v>
      </c>
      <c r="E21" s="11" t="n">
        <f aca="false">E8*Inputs!$C$9*Inputs!$C$11+E9*Inputs!$C$9*(1-Inputs!$C$11)+E7*Inputs!$C$7*Inputs!$C$11+E10*Inputs!$C$7*(1-Inputs!$C$11)</f>
        <v>20000</v>
      </c>
      <c r="F21" s="11" t="n">
        <f aca="false">F8*Inputs!$C$9*Inputs!$C$11+F9*Inputs!$C$9*(1-Inputs!$C$11)+F7*Inputs!$C$7*Inputs!$C$11+F10*Inputs!$C$7*(1-Inputs!$C$11)</f>
        <v>0</v>
      </c>
      <c r="G21" s="11" t="n">
        <f aca="false">G8*Inputs!$C$9*Inputs!$C$11+G9*Inputs!$C$9*(1-Inputs!$C$11)+G7*Inputs!$C$7*Inputs!$C$11+G10*Inputs!$C$7*(1-Inputs!$C$11)</f>
        <v>19111</v>
      </c>
      <c r="H21" s="11" t="n">
        <f aca="false">H8*Inputs!$C$9*Inputs!$C$11+H9*Inputs!$C$9*(1-Inputs!$C$11)+H7*Inputs!$C$7*Inputs!$C$11+H10*Inputs!$C$7*(1-Inputs!$C$11)</f>
        <v>0</v>
      </c>
      <c r="I21" s="11" t="n">
        <f aca="false">I8*Inputs!$C$9*Inputs!$C$11+I9*Inputs!$C$9*(1-Inputs!$C$11)+I7*Inputs!$C$7*Inputs!$C$11+I10*Inputs!$C$7*(1-Inputs!$C$11)</f>
        <v>0</v>
      </c>
      <c r="J21" s="11" t="n">
        <f aca="false">J8*Inputs!$C$9*Inputs!$C$11+J9*Inputs!$C$9*(1-Inputs!$C$11)+J7*Inputs!$C$7*Inputs!$C$11+J10*Inputs!$C$7*(1-Inputs!$C$11)</f>
        <v>19111</v>
      </c>
      <c r="K21" s="11" t="n">
        <f aca="false">K8*Inputs!$C$9*Inputs!$C$11+K9*Inputs!$C$9*(1-Inputs!$C$11)+K7*Inputs!$C$7*Inputs!$C$11+K10*Inputs!$C$7*(1-Inputs!$C$11)</f>
        <v>0</v>
      </c>
      <c r="L21" s="11" t="n">
        <f aca="false">L8*Inputs!$C$9*Inputs!$C$11+L9*Inputs!$C$9*(1-Inputs!$C$11)+L7*Inputs!$C$7*Inputs!$C$11+L10*Inputs!$C$7*(1-Inputs!$C$11)</f>
        <v>0</v>
      </c>
      <c r="M21" s="11" t="n">
        <f aca="false">M8*Inputs!$C$9*Inputs!$C$11+M9*Inputs!$C$9*(1-Inputs!$C$11)+M7*Inputs!$C$7*Inputs!$C$11+M10*Inputs!$C$7*(1-Inputs!$C$11)</f>
        <v>19111</v>
      </c>
      <c r="N21" s="11" t="n">
        <f aca="false">N8*Inputs!$C$9*Inputs!$C$11+N9*Inputs!$C$9*(1-Inputs!$C$11)+N7*Inputs!$C$7*Inputs!$C$11+N10*Inputs!$C$7*(1-Inputs!$C$11)</f>
        <v>0</v>
      </c>
      <c r="O21" s="11" t="n">
        <f aca="false">O8*Inputs!$C$9*Inputs!$C$11+O9*Inputs!$C$9*(1-Inputs!$C$11)+O7*Inputs!$C$7*Inputs!$C$11+O10*Inputs!$C$7*(1-Inputs!$C$11)</f>
        <v>0</v>
      </c>
      <c r="P21" s="11" t="n">
        <f aca="false">P8*Inputs!$C$9*Inputs!$C$11+P9*Inputs!$C$9*(1-Inputs!$C$11)+P7*Inputs!$C$7*Inputs!$C$11+P10*Inputs!$C$7*(1-Inputs!$C$11)</f>
        <v>0</v>
      </c>
      <c r="Q21" s="11" t="n">
        <f aca="false">Q8*Inputs!$C$9*Inputs!$C$11+Q9*Inputs!$C$9*(1-Inputs!$C$11)+Q7*Inputs!$C$7*Inputs!$C$11+Q10*Inputs!$C$7*(1-Inputs!$C$11)</f>
        <v>19111</v>
      </c>
      <c r="R21" s="11" t="n">
        <f aca="false">R8*Inputs!$C$9*Inputs!$C$11+R9*Inputs!$C$9*(1-Inputs!$C$11)+R7*Inputs!$C$7*Inputs!$C$11+R10*Inputs!$C$7*(1-Inputs!$C$11)</f>
        <v>0</v>
      </c>
      <c r="S21" s="11" t="n">
        <f aca="false">S8*Inputs!$C$9*Inputs!$C$11+S9*Inputs!$C$9*(1-Inputs!$C$11)+S7*Inputs!$C$7*Inputs!$C$11+S10*Inputs!$C$7*(1-Inputs!$C$11)</f>
        <v>19111</v>
      </c>
      <c r="T21" s="11" t="n">
        <f aca="false">T8*Inputs!$C$9*Inputs!$C$11+T9*Inputs!$C$9*(1-Inputs!$C$11)+T7*Inputs!$C$7*Inputs!$C$11+T10*Inputs!$C$7*(1-Inputs!$C$11)</f>
        <v>0</v>
      </c>
      <c r="U21" s="11" t="n">
        <f aca="false">U8*Inputs!$C$9*Inputs!$C$11+U9*Inputs!$C$9*(1-Inputs!$C$11)+U7*Inputs!$C$7*Inputs!$C$11+U10*Inputs!$C$7*(1-Inputs!$C$11)</f>
        <v>19111</v>
      </c>
      <c r="V21" s="11" t="n">
        <f aca="false">V8*Inputs!$C$9*Inputs!$C$11+V9*Inputs!$C$9*(1-Inputs!$C$11)+V7*Inputs!$C$7*Inputs!$C$11+V10*Inputs!$C$7*(1-Inputs!$C$11)</f>
        <v>0</v>
      </c>
      <c r="W21" s="11" t="n">
        <f aca="false">W8*Inputs!$C$9*Inputs!$C$11+W9*Inputs!$C$9*(1-Inputs!$C$11)+W7*Inputs!$C$7*Inputs!$C$11+W10*Inputs!$C$7*(1-Inputs!$C$11)</f>
        <v>19111</v>
      </c>
      <c r="X21" s="11" t="n">
        <f aca="false">X8*Inputs!$C$9*Inputs!$C$11+X9*Inputs!$C$9*(1-Inputs!$C$11)+X7*Inputs!$C$7*Inputs!$C$11+X10*Inputs!$C$7*(1-Inputs!$C$11)</f>
        <v>19111</v>
      </c>
      <c r="Y21" s="11" t="n">
        <f aca="false">Y8*Inputs!$C$9*Inputs!$C$11+Y9*Inputs!$C$9*(1-Inputs!$C$11)+Y7*Inputs!$C$7*Inputs!$C$11+Y10*Inputs!$C$7*(1-Inputs!$C$11)</f>
        <v>0</v>
      </c>
      <c r="Z21" s="11" t="n">
        <f aca="false">Z8*Inputs!$C$9*Inputs!$C$11+Z9*Inputs!$C$9*(1-Inputs!$C$11)+Z7*Inputs!$C$7*Inputs!$C$11+Z10*Inputs!$C$7*(1-Inputs!$C$11)</f>
        <v>19111</v>
      </c>
      <c r="AA21" s="11" t="n">
        <f aca="false">AA8*Inputs!$C$9*Inputs!$C$11+AA9*Inputs!$C$9*(1-Inputs!$C$11)+AA7*Inputs!$C$7*Inputs!$C$11+AA10*Inputs!$C$7*(1-Inputs!$C$11)</f>
        <v>19111</v>
      </c>
      <c r="AB21" s="11" t="n">
        <f aca="false">AB8*Inputs!$C$9*Inputs!$C$11+AB9*Inputs!$C$9*(1-Inputs!$C$11)+AB7*Inputs!$C$7*Inputs!$C$11+AB10*Inputs!$C$7*(1-Inputs!$C$11)</f>
        <v>0</v>
      </c>
      <c r="AC21" s="11" t="n">
        <f aca="false">AC8*Inputs!$C$9*Inputs!$C$11+AC9*Inputs!$C$9*(1-Inputs!$C$11)+AC7*Inputs!$C$7*Inputs!$C$11+AC10*Inputs!$C$7*(1-Inputs!$C$11)</f>
        <v>19111</v>
      </c>
      <c r="AD21" s="11" t="n">
        <f aca="false">AD8*Inputs!$C$9*Inputs!$C$11+AD9*Inputs!$C$9*(1-Inputs!$C$11)+AD7*Inputs!$C$7*Inputs!$C$11+AD10*Inputs!$C$7*(1-Inputs!$C$11)</f>
        <v>19111</v>
      </c>
      <c r="AE21" s="11" t="n">
        <f aca="false">AE8*Inputs!$C$9*Inputs!$C$11+AE9*Inputs!$C$9*(1-Inputs!$C$11)+AE7*Inputs!$C$7*Inputs!$C$11+AE10*Inputs!$C$7*(1-Inputs!$C$11)</f>
        <v>0</v>
      </c>
      <c r="AF21" s="11" t="n">
        <f aca="false">AF8*Inputs!$C$9*Inputs!$C$11+AF9*Inputs!$C$9*(1-Inputs!$C$11)+AF7*Inputs!$C$7*Inputs!$C$11+AF10*Inputs!$C$7*(1-Inputs!$C$11)</f>
        <v>19111</v>
      </c>
      <c r="AG21" s="11" t="n">
        <f aca="false">AG8*Inputs!$C$9*Inputs!$C$11+AG9*Inputs!$C$9*(1-Inputs!$C$11)+AG7*Inputs!$C$7*Inputs!$C$11+AG10*Inputs!$C$7*(1-Inputs!$C$11)</f>
        <v>19111</v>
      </c>
      <c r="AH21" s="11" t="n">
        <f aca="false">AH8*Inputs!$C$9*Inputs!$C$11+AH9*Inputs!$C$9*(1-Inputs!$C$11)+AH7*Inputs!$C$7*Inputs!$C$11+AH10*Inputs!$C$7*(1-Inputs!$C$11)</f>
        <v>19111</v>
      </c>
      <c r="AI21" s="11" t="n">
        <f aca="false">AI8*Inputs!$C$9*Inputs!$C$11+AI9*Inputs!$C$9*(1-Inputs!$C$11)+AI7*Inputs!$C$7*Inputs!$C$11+AI10*Inputs!$C$7*(1-Inputs!$C$11)</f>
        <v>0</v>
      </c>
      <c r="AJ21" s="11" t="n">
        <f aca="false">AJ8*Inputs!$C$9*Inputs!$C$11+AJ9*Inputs!$C$9*(1-Inputs!$C$11)+AJ7*Inputs!$C$7*Inputs!$C$11+AJ10*Inputs!$C$7*(1-Inputs!$C$11)</f>
        <v>19111</v>
      </c>
      <c r="AK21" s="11" t="n">
        <f aca="false">AK8*Inputs!$C$9*Inputs!$C$11+AK9*Inputs!$C$9*(1-Inputs!$C$11)+AK7*Inputs!$C$7*Inputs!$C$11+AK10*Inputs!$C$7*(1-Inputs!$C$11)</f>
        <v>19111</v>
      </c>
      <c r="AL21" s="11" t="n">
        <f aca="false">AL8*Inputs!$C$9*Inputs!$C$11+AL9*Inputs!$C$9*(1-Inputs!$C$11)+AL7*Inputs!$C$7*Inputs!$C$11+AL10*Inputs!$C$7*(1-Inputs!$C$11)</f>
        <v>19111</v>
      </c>
    </row>
    <row r="22" customFormat="false" ht="15" hidden="false" customHeight="false" outlineLevel="0" collapsed="false">
      <c r="A22" s="2" t="s">
        <v>113</v>
      </c>
      <c r="B22" s="4"/>
      <c r="C22" s="11" t="n">
        <f aca="false">(C9+C10)*Inputs!$C$17*Inputs!$C$18</f>
        <v>0</v>
      </c>
      <c r="D22" s="11" t="n">
        <f aca="false">(D9+D10)*Inputs!$C$17*Inputs!$C$18</f>
        <v>0</v>
      </c>
      <c r="E22" s="11" t="n">
        <f aca="false">(E9+E10)*Inputs!$C$17*Inputs!$C$18</f>
        <v>2240</v>
      </c>
      <c r="F22" s="11" t="n">
        <f aca="false">(F9+F10)*Inputs!$C$17*Inputs!$C$18</f>
        <v>0</v>
      </c>
      <c r="G22" s="11" t="n">
        <f aca="false">(G9+G10)*Inputs!$C$17*Inputs!$C$18</f>
        <v>2240</v>
      </c>
      <c r="H22" s="11" t="n">
        <f aca="false">(H9+H10)*Inputs!$C$17*Inputs!$C$18</f>
        <v>0</v>
      </c>
      <c r="I22" s="11" t="n">
        <f aca="false">(I9+I10)*Inputs!$C$17*Inputs!$C$18</f>
        <v>0</v>
      </c>
      <c r="J22" s="11" t="n">
        <f aca="false">(J9+J10)*Inputs!$C$17*Inputs!$C$18</f>
        <v>2240</v>
      </c>
      <c r="K22" s="11" t="n">
        <f aca="false">(K9+K10)*Inputs!$C$17*Inputs!$C$18</f>
        <v>0</v>
      </c>
      <c r="L22" s="11" t="n">
        <f aca="false">(L9+L10)*Inputs!$C$17*Inputs!$C$18</f>
        <v>0</v>
      </c>
      <c r="M22" s="11" t="n">
        <f aca="false">(M9+M10)*Inputs!$C$17*Inputs!$C$18</f>
        <v>2240</v>
      </c>
      <c r="N22" s="11" t="n">
        <f aca="false">(N9+N10)*Inputs!$C$17*Inputs!$C$18</f>
        <v>0</v>
      </c>
      <c r="O22" s="11" t="n">
        <f aca="false">(O9+O10)*Inputs!$C$17*Inputs!$C$18</f>
        <v>0</v>
      </c>
      <c r="P22" s="11" t="n">
        <f aca="false">(P9+P10)*Inputs!$C$17*Inputs!$C$18</f>
        <v>0</v>
      </c>
      <c r="Q22" s="11" t="n">
        <f aca="false">(Q9+Q10)*Inputs!$C$17*Inputs!$C$18</f>
        <v>2240</v>
      </c>
      <c r="R22" s="11" t="n">
        <f aca="false">(R9+R10)*Inputs!$C$17*Inputs!$C$18</f>
        <v>0</v>
      </c>
      <c r="S22" s="11" t="n">
        <f aca="false">(S9+S10)*Inputs!$C$17*Inputs!$C$18</f>
        <v>2240</v>
      </c>
      <c r="T22" s="11" t="n">
        <f aca="false">(T9+T10)*Inputs!$C$17*Inputs!$C$18</f>
        <v>0</v>
      </c>
      <c r="U22" s="11" t="n">
        <f aca="false">(U9+U10)*Inputs!$C$17*Inputs!$C$18</f>
        <v>2240</v>
      </c>
      <c r="V22" s="11" t="n">
        <f aca="false">(V9+V10)*Inputs!$C$17*Inputs!$C$18</f>
        <v>0</v>
      </c>
      <c r="W22" s="11" t="n">
        <f aca="false">(W9+W10)*Inputs!$C$17*Inputs!$C$18</f>
        <v>2240</v>
      </c>
      <c r="X22" s="11" t="n">
        <f aca="false">(X9+X10)*Inputs!$C$17*Inputs!$C$18</f>
        <v>2240</v>
      </c>
      <c r="Y22" s="11" t="n">
        <f aca="false">(Y9+Y10)*Inputs!$C$17*Inputs!$C$18</f>
        <v>0</v>
      </c>
      <c r="Z22" s="11" t="n">
        <f aca="false">(Z9+Z10)*Inputs!$C$17*Inputs!$C$18</f>
        <v>2240</v>
      </c>
      <c r="AA22" s="11" t="n">
        <f aca="false">(AA9+AA10)*Inputs!$C$17*Inputs!$C$18</f>
        <v>2240</v>
      </c>
      <c r="AB22" s="11" t="n">
        <f aca="false">(AB9+AB10)*Inputs!$C$17*Inputs!$C$18</f>
        <v>0</v>
      </c>
      <c r="AC22" s="11" t="n">
        <f aca="false">(AC9+AC10)*Inputs!$C$17*Inputs!$C$18</f>
        <v>2240</v>
      </c>
      <c r="AD22" s="11" t="n">
        <f aca="false">(AD9+AD10)*Inputs!$C$17*Inputs!$C$18</f>
        <v>2240</v>
      </c>
      <c r="AE22" s="11" t="n">
        <f aca="false">(AE9+AE10)*Inputs!$C$17*Inputs!$C$18</f>
        <v>0</v>
      </c>
      <c r="AF22" s="11" t="n">
        <f aca="false">(AF9+AF10)*Inputs!$C$17*Inputs!$C$18</f>
        <v>2240</v>
      </c>
      <c r="AG22" s="11" t="n">
        <f aca="false">(AG9+AG10)*Inputs!$C$17*Inputs!$C$18</f>
        <v>2240</v>
      </c>
      <c r="AH22" s="11" t="n">
        <f aca="false">(AH9+AH10)*Inputs!$C$17*Inputs!$C$18</f>
        <v>2240</v>
      </c>
      <c r="AI22" s="11" t="n">
        <f aca="false">(AI9+AI10)*Inputs!$C$17*Inputs!$C$18</f>
        <v>0</v>
      </c>
      <c r="AJ22" s="11" t="n">
        <f aca="false">(AJ9+AJ10)*Inputs!$C$17*Inputs!$C$18</f>
        <v>2240</v>
      </c>
      <c r="AK22" s="11" t="n">
        <f aca="false">(AK9+AK10)*Inputs!$C$17*Inputs!$C$18</f>
        <v>2240</v>
      </c>
      <c r="AL22" s="11" t="n">
        <f aca="false">(AL9+AL10)*Inputs!$C$17*Inputs!$C$18</f>
        <v>2240</v>
      </c>
    </row>
    <row r="23" customFormat="false" ht="15" hidden="false" customHeight="false" outlineLevel="0" collapsed="false">
      <c r="A23" s="2" t="s">
        <v>114</v>
      </c>
      <c r="B23" s="4"/>
      <c r="C23" s="11" t="n">
        <f aca="false">C15*Inputs!$C$20+C16*Inputs!$C$21</f>
        <v>0</v>
      </c>
      <c r="D23" s="11" t="n">
        <f aca="false">D15*Inputs!$C$20+D16*Inputs!$C$21</f>
        <v>0</v>
      </c>
      <c r="E23" s="11" t="n">
        <f aca="false">E15*Inputs!$C$20+E16*Inputs!$C$21</f>
        <v>0</v>
      </c>
      <c r="F23" s="11" t="n">
        <f aca="false">F15*Inputs!$C$20+F16*Inputs!$C$21</f>
        <v>0</v>
      </c>
      <c r="G23" s="11" t="n">
        <f aca="false">G15*Inputs!$C$20+G16*Inputs!$C$21</f>
        <v>0</v>
      </c>
      <c r="H23" s="11" t="n">
        <f aca="false">H15*Inputs!$C$20+H16*Inputs!$C$21</f>
        <v>0</v>
      </c>
      <c r="I23" s="11" t="n">
        <f aca="false">I15*Inputs!$C$20+I16*Inputs!$C$21</f>
        <v>0</v>
      </c>
      <c r="J23" s="11" t="n">
        <f aca="false">J15*Inputs!$C$20+J16*Inputs!$C$21</f>
        <v>0</v>
      </c>
      <c r="K23" s="11" t="n">
        <f aca="false">K15*Inputs!$C$20+K16*Inputs!$C$21</f>
        <v>0</v>
      </c>
      <c r="L23" s="11" t="n">
        <f aca="false">L15*Inputs!$C$20+L16*Inputs!$C$21</f>
        <v>0</v>
      </c>
      <c r="M23" s="11" t="n">
        <f aca="false">M15*Inputs!$C$20+M16*Inputs!$C$21</f>
        <v>0</v>
      </c>
      <c r="N23" s="11" t="n">
        <f aca="false">N15*Inputs!$C$20+N16*Inputs!$C$21</f>
        <v>0</v>
      </c>
      <c r="O23" s="11" t="n">
        <f aca="false">O15*Inputs!$C$20+O16*Inputs!$C$21</f>
        <v>0</v>
      </c>
      <c r="P23" s="11" t="n">
        <f aca="false">P15*Inputs!$C$20+P16*Inputs!$C$21</f>
        <v>0</v>
      </c>
      <c r="Q23" s="11" t="n">
        <f aca="false">Q15*Inputs!$C$20+Q16*Inputs!$C$21</f>
        <v>0</v>
      </c>
      <c r="R23" s="11" t="n">
        <f aca="false">R15*Inputs!$C$20+R16*Inputs!$C$21</f>
        <v>0</v>
      </c>
      <c r="S23" s="11" t="n">
        <f aca="false">S15*Inputs!$C$20+S16*Inputs!$C$21</f>
        <v>0</v>
      </c>
      <c r="T23" s="11" t="n">
        <f aca="false">T15*Inputs!$C$20+T16*Inputs!$C$21</f>
        <v>0</v>
      </c>
      <c r="U23" s="11" t="n">
        <f aca="false">U15*Inputs!$C$20+U16*Inputs!$C$21</f>
        <v>0</v>
      </c>
      <c r="V23" s="11" t="n">
        <f aca="false">V15*Inputs!$C$20+V16*Inputs!$C$21</f>
        <v>0</v>
      </c>
      <c r="W23" s="11" t="n">
        <f aca="false">W15*Inputs!$C$20+W16*Inputs!$C$21</f>
        <v>0</v>
      </c>
      <c r="X23" s="11" t="n">
        <f aca="false">X15*Inputs!$C$20+X16*Inputs!$C$21</f>
        <v>0</v>
      </c>
      <c r="Y23" s="11" t="n">
        <f aca="false">Y15*Inputs!$C$20+Y16*Inputs!$C$21</f>
        <v>0</v>
      </c>
      <c r="Z23" s="11" t="n">
        <f aca="false">Z15*Inputs!$C$20+Z16*Inputs!$C$21</f>
        <v>0</v>
      </c>
      <c r="AA23" s="11" t="n">
        <f aca="false">AA15*Inputs!$C$20+AA16*Inputs!$C$21</f>
        <v>0</v>
      </c>
      <c r="AB23" s="11" t="n">
        <f aca="false">AB15*Inputs!$C$20+AB16*Inputs!$C$21</f>
        <v>0</v>
      </c>
      <c r="AC23" s="11" t="n">
        <f aca="false">AC15*Inputs!$C$20+AC16*Inputs!$C$21</f>
        <v>0</v>
      </c>
      <c r="AD23" s="11" t="n">
        <f aca="false">AD15*Inputs!$C$20+AD16*Inputs!$C$21</f>
        <v>0</v>
      </c>
      <c r="AE23" s="11" t="n">
        <f aca="false">AE15*Inputs!$C$20+AE16*Inputs!$C$21</f>
        <v>0</v>
      </c>
      <c r="AF23" s="11" t="n">
        <f aca="false">AF15*Inputs!$C$20+AF16*Inputs!$C$21</f>
        <v>0</v>
      </c>
      <c r="AG23" s="11" t="n">
        <f aca="false">AG15*Inputs!$C$20+AG16*Inputs!$C$21</f>
        <v>0</v>
      </c>
      <c r="AH23" s="11" t="n">
        <f aca="false">AH15*Inputs!$C$20+AH16*Inputs!$C$21</f>
        <v>0</v>
      </c>
      <c r="AI23" s="11" t="n">
        <f aca="false">AI15*Inputs!$C$20+AI16*Inputs!$C$21</f>
        <v>0</v>
      </c>
      <c r="AJ23" s="11" t="n">
        <f aca="false">AJ15*Inputs!$C$20+AJ16*Inputs!$C$21</f>
        <v>0</v>
      </c>
      <c r="AK23" s="11" t="n">
        <f aca="false">AK15*Inputs!$C$20+AK16*Inputs!$C$21</f>
        <v>0</v>
      </c>
      <c r="AL23" s="11" t="n">
        <f aca="false">AL15*Inputs!$C$20+AL16*Inputs!$C$21</f>
        <v>0</v>
      </c>
    </row>
    <row r="24" customFormat="false" ht="15" hidden="false" customHeight="false" outlineLevel="0" collapsed="false">
      <c r="A24" s="2" t="s">
        <v>116</v>
      </c>
      <c r="B24" s="4"/>
      <c r="C24" s="7" t="n">
        <f aca="false">Schedules!C8</f>
        <v>0</v>
      </c>
      <c r="D24" s="7" t="n">
        <f aca="false">Schedules!D8</f>
        <v>0</v>
      </c>
      <c r="E24" s="7" t="n">
        <f aca="false">Schedules!E8</f>
        <v>0</v>
      </c>
      <c r="F24" s="7" t="n">
        <f aca="false">Schedules!F8</f>
        <v>0</v>
      </c>
      <c r="G24" s="7" t="n">
        <f aca="false">Schedules!G8</f>
        <v>0</v>
      </c>
      <c r="H24" s="7" t="n">
        <f aca="false">Schedules!H8</f>
        <v>0</v>
      </c>
      <c r="I24" s="7" t="n">
        <f aca="false">Schedules!I8</f>
        <v>0</v>
      </c>
      <c r="J24" s="7" t="n">
        <f aca="false">Schedules!J8</f>
        <v>0</v>
      </c>
      <c r="K24" s="7" t="n">
        <f aca="false">Schedules!K8</f>
        <v>0</v>
      </c>
      <c r="L24" s="7" t="n">
        <f aca="false">Schedules!L8</f>
        <v>0</v>
      </c>
      <c r="M24" s="7" t="n">
        <f aca="false">Schedules!M8</f>
        <v>0</v>
      </c>
      <c r="N24" s="7" t="n">
        <f aca="false">Schedules!N8</f>
        <v>0</v>
      </c>
      <c r="O24" s="7" t="n">
        <f aca="false">Schedules!O8</f>
        <v>7691.5</v>
      </c>
      <c r="P24" s="7" t="n">
        <f aca="false">Schedules!P8</f>
        <v>7691.5</v>
      </c>
      <c r="Q24" s="7" t="n">
        <f aca="false">Schedules!Q8</f>
        <v>7691.5</v>
      </c>
      <c r="R24" s="7" t="n">
        <f aca="false">Schedules!R8</f>
        <v>7691.5</v>
      </c>
      <c r="S24" s="7" t="n">
        <f aca="false">Schedules!S8</f>
        <v>7691.5</v>
      </c>
      <c r="T24" s="7" t="n">
        <f aca="false">Schedules!T8</f>
        <v>7691.5</v>
      </c>
      <c r="U24" s="7" t="n">
        <f aca="false">Schedules!U8</f>
        <v>7691.5</v>
      </c>
      <c r="V24" s="7" t="n">
        <f aca="false">Schedules!V8</f>
        <v>7691.5</v>
      </c>
      <c r="W24" s="7" t="n">
        <f aca="false">Schedules!W8</f>
        <v>7691.5</v>
      </c>
      <c r="X24" s="7" t="n">
        <f aca="false">Schedules!X8</f>
        <v>7691.5</v>
      </c>
      <c r="Y24" s="7" t="n">
        <f aca="false">Schedules!Y8</f>
        <v>7691.5</v>
      </c>
      <c r="Z24" s="7" t="n">
        <f aca="false">Schedules!Z8</f>
        <v>7691.5</v>
      </c>
      <c r="AA24" s="7" t="n">
        <f aca="false">Schedules!AA8</f>
        <v>9070</v>
      </c>
      <c r="AB24" s="7" t="n">
        <f aca="false">Schedules!AB8</f>
        <v>9070</v>
      </c>
      <c r="AC24" s="7" t="n">
        <f aca="false">Schedules!AC8</f>
        <v>9070</v>
      </c>
      <c r="AD24" s="7" t="n">
        <f aca="false">Schedules!AD8</f>
        <v>9070</v>
      </c>
      <c r="AE24" s="7" t="n">
        <f aca="false">Schedules!AE8</f>
        <v>9070</v>
      </c>
      <c r="AF24" s="7" t="n">
        <f aca="false">Schedules!AF8</f>
        <v>9070</v>
      </c>
      <c r="AG24" s="7" t="n">
        <f aca="false">Schedules!AG8</f>
        <v>9070</v>
      </c>
      <c r="AH24" s="7" t="n">
        <f aca="false">Schedules!AH8</f>
        <v>9070</v>
      </c>
      <c r="AI24" s="7" t="n">
        <f aca="false">Schedules!AI8</f>
        <v>9070</v>
      </c>
      <c r="AJ24" s="7" t="n">
        <f aca="false">Schedules!AJ8</f>
        <v>9070</v>
      </c>
      <c r="AK24" s="7" t="n">
        <f aca="false">Schedules!AK8</f>
        <v>9070</v>
      </c>
      <c r="AL24" s="7" t="n">
        <f aca="false">Schedules!AL8</f>
        <v>9070</v>
      </c>
    </row>
    <row r="25" customFormat="false" ht="15" hidden="false" customHeight="false" outlineLevel="0" collapsed="false">
      <c r="A25" s="3" t="s">
        <v>207</v>
      </c>
      <c r="B25" s="4"/>
      <c r="C25" s="11" t="n">
        <f aca="false">SUM(C19:C24)</f>
        <v>0</v>
      </c>
      <c r="D25" s="11" t="n">
        <f aca="false">SUM(D19:D24)</f>
        <v>0</v>
      </c>
      <c r="E25" s="11" t="n">
        <f aca="false">SUM(E19:E24)</f>
        <v>22240</v>
      </c>
      <c r="F25" s="11" t="n">
        <f aca="false">SUM(F19:F24)</f>
        <v>3800</v>
      </c>
      <c r="G25" s="11" t="n">
        <f aca="false">SUM(G19:G24)</f>
        <v>25151</v>
      </c>
      <c r="H25" s="11" t="n">
        <f aca="false">SUM(H19:H24)</f>
        <v>6813.5</v>
      </c>
      <c r="I25" s="11" t="n">
        <f aca="false">SUM(I19:I24)</f>
        <v>6813.5</v>
      </c>
      <c r="J25" s="11" t="n">
        <f aca="false">SUM(J19:J24)</f>
        <v>28688</v>
      </c>
      <c r="K25" s="11" t="n">
        <f aca="false">SUM(K19:K24)</f>
        <v>9827</v>
      </c>
      <c r="L25" s="11" t="n">
        <f aca="false">SUM(L19:L24)</f>
        <v>9827</v>
      </c>
      <c r="M25" s="11" t="n">
        <f aca="false">SUM(M19:M24)</f>
        <v>31701.5</v>
      </c>
      <c r="N25" s="11" t="n">
        <f aca="false">SUM(N19:N24)</f>
        <v>12840.5</v>
      </c>
      <c r="O25" s="11" t="n">
        <f aca="false">SUM(O19:O24)</f>
        <v>21174.025</v>
      </c>
      <c r="P25" s="11" t="n">
        <f aca="false">SUM(P19:P24)</f>
        <v>21723.7</v>
      </c>
      <c r="Q25" s="11" t="n">
        <f aca="false">SUM(Q19:Q24)</f>
        <v>43074.7</v>
      </c>
      <c r="R25" s="11" t="n">
        <f aca="false">SUM(R19:R24)</f>
        <v>24338.2</v>
      </c>
      <c r="S25" s="11" t="n">
        <f aca="false">SUM(S19:S24)</f>
        <v>45689.2</v>
      </c>
      <c r="T25" s="11" t="n">
        <f aca="false">SUM(T19:T24)</f>
        <v>27502.375</v>
      </c>
      <c r="U25" s="11" t="n">
        <f aca="false">SUM(U19:U24)</f>
        <v>48853.375</v>
      </c>
      <c r="V25" s="11" t="n">
        <f aca="false">SUM(V19:V24)</f>
        <v>30666.55</v>
      </c>
      <c r="W25" s="11" t="n">
        <f aca="false">SUM(W19:W24)</f>
        <v>52017.55</v>
      </c>
      <c r="X25" s="11" t="n">
        <f aca="false">SUM(X19:X24)</f>
        <v>55181.725</v>
      </c>
      <c r="Y25" s="11" t="n">
        <f aca="false">SUM(Y19:Y24)</f>
        <v>36445.225</v>
      </c>
      <c r="Z25" s="11" t="n">
        <f aca="false">SUM(Z19:Z24)</f>
        <v>58345.9</v>
      </c>
      <c r="AA25" s="11" t="n">
        <f aca="false">SUM(AA19:AA24)</f>
        <v>64511.95375</v>
      </c>
      <c r="AB25" s="11" t="n">
        <f aca="false">SUM(AB19:AB24)</f>
        <v>45906.17875</v>
      </c>
      <c r="AC25" s="11" t="n">
        <f aca="false">SUM(AC19:AC24)</f>
        <v>67834.3375</v>
      </c>
      <c r="AD25" s="11" t="n">
        <f aca="false">SUM(AD19:AD24)</f>
        <v>71156.72125</v>
      </c>
      <c r="AE25" s="11" t="n">
        <f aca="false">SUM(AE19:AE24)</f>
        <v>52550.94625</v>
      </c>
      <c r="AF25" s="11" t="n">
        <f aca="false">SUM(AF19:AF24)</f>
        <v>74479.105</v>
      </c>
      <c r="AG25" s="11" t="n">
        <f aca="false">SUM(AG19:AG24)</f>
        <v>77801.48875</v>
      </c>
      <c r="AH25" s="11" t="n">
        <f aca="false">SUM(AH19:AH24)</f>
        <v>80546.71375</v>
      </c>
      <c r="AI25" s="11" t="n">
        <f aca="false">SUM(AI19:AI24)</f>
        <v>62518.0975</v>
      </c>
      <c r="AJ25" s="11" t="n">
        <f aca="false">SUM(AJ19:AJ24)</f>
        <v>84446.25625</v>
      </c>
      <c r="AK25" s="11" t="n">
        <f aca="false">SUM(AK19:AK24)</f>
        <v>87768.64</v>
      </c>
      <c r="AL25" s="11" t="n">
        <f aca="false">SUM(AL19:AL24)</f>
        <v>90513.865</v>
      </c>
    </row>
    <row r="26" customFormat="false" ht="15" hidden="false" customHeight="false" outlineLevel="0" collapsed="false">
      <c r="A26" s="3" t="s">
        <v>208</v>
      </c>
      <c r="B26" s="4"/>
      <c r="C26" s="11" t="n">
        <f aca="false">C19+C20+C16*Inputs!$C$21</f>
        <v>0</v>
      </c>
      <c r="D26" s="11" t="n">
        <f aca="false">D19+D20+D16*Inputs!$C$21</f>
        <v>0</v>
      </c>
      <c r="E26" s="11" t="n">
        <f aca="false">E19+E20+E16*Inputs!$C$21</f>
        <v>0</v>
      </c>
      <c r="F26" s="11" t="n">
        <f aca="false">F19+F20+F16*Inputs!$C$21</f>
        <v>3800</v>
      </c>
      <c r="G26" s="11" t="n">
        <f aca="false">G19+G20+G16*Inputs!$C$21</f>
        <v>3800</v>
      </c>
      <c r="H26" s="11" t="n">
        <f aca="false">H19+H20+H16*Inputs!$C$21</f>
        <v>6813.5</v>
      </c>
      <c r="I26" s="11" t="n">
        <f aca="false">I19+I20+I16*Inputs!$C$21</f>
        <v>6813.5</v>
      </c>
      <c r="J26" s="11" t="n">
        <f aca="false">J19+J20+J16*Inputs!$C$21</f>
        <v>7337</v>
      </c>
      <c r="K26" s="11" t="n">
        <f aca="false">K19+K20+K16*Inputs!$C$21</f>
        <v>9827</v>
      </c>
      <c r="L26" s="11" t="n">
        <f aca="false">L19+L20+L16*Inputs!$C$21</f>
        <v>9827</v>
      </c>
      <c r="M26" s="11" t="n">
        <f aca="false">M19+M20+M16*Inputs!$C$21</f>
        <v>10350.5</v>
      </c>
      <c r="N26" s="11" t="n">
        <f aca="false">N19+N20+N16*Inputs!$C$21</f>
        <v>12840.5</v>
      </c>
      <c r="O26" s="11" t="n">
        <f aca="false">O19+O20+O16*Inputs!$C$21</f>
        <v>13482.525</v>
      </c>
      <c r="P26" s="11" t="n">
        <f aca="false">P19+P20+P16*Inputs!$C$21</f>
        <v>14032.2</v>
      </c>
      <c r="Q26" s="11" t="n">
        <f aca="false">Q19+Q20+Q16*Inputs!$C$21</f>
        <v>14032.2</v>
      </c>
      <c r="R26" s="11" t="n">
        <f aca="false">R19+R20+R16*Inputs!$C$21</f>
        <v>16646.7</v>
      </c>
      <c r="S26" s="11" t="n">
        <f aca="false">S19+S20+S16*Inputs!$C$21</f>
        <v>16646.7</v>
      </c>
      <c r="T26" s="11" t="n">
        <f aca="false">T19+T20+T16*Inputs!$C$21</f>
        <v>19810.875</v>
      </c>
      <c r="U26" s="11" t="n">
        <f aca="false">U19+U20+U16*Inputs!$C$21</f>
        <v>19810.875</v>
      </c>
      <c r="V26" s="11" t="n">
        <f aca="false">V19+V20+V16*Inputs!$C$21</f>
        <v>22975.05</v>
      </c>
      <c r="W26" s="11" t="n">
        <f aca="false">W19+W20+W16*Inputs!$C$21</f>
        <v>22975.05</v>
      </c>
      <c r="X26" s="11" t="n">
        <f aca="false">X19+X20+X16*Inputs!$C$21</f>
        <v>26139.225</v>
      </c>
      <c r="Y26" s="11" t="n">
        <f aca="false">Y19+Y20+Y16*Inputs!$C$21</f>
        <v>28753.725</v>
      </c>
      <c r="Z26" s="11" t="n">
        <f aca="false">Z19+Z20+Z16*Inputs!$C$21</f>
        <v>29303.4</v>
      </c>
      <c r="AA26" s="11" t="n">
        <f aca="false">AA19+AA20+AA16*Inputs!$C$21</f>
        <v>34090.95375</v>
      </c>
      <c r="AB26" s="11" t="n">
        <f aca="false">AB19+AB20+AB16*Inputs!$C$21</f>
        <v>36836.17875</v>
      </c>
      <c r="AC26" s="11" t="n">
        <f aca="false">AC19+AC20+AC16*Inputs!$C$21</f>
        <v>37413.3375</v>
      </c>
      <c r="AD26" s="11" t="n">
        <f aca="false">AD19+AD20+AD16*Inputs!$C$21</f>
        <v>40735.72125</v>
      </c>
      <c r="AE26" s="11" t="n">
        <f aca="false">AE19+AE20+AE16*Inputs!$C$21</f>
        <v>43480.94625</v>
      </c>
      <c r="AF26" s="11" t="n">
        <f aca="false">AF19+AF20+AF16*Inputs!$C$21</f>
        <v>44058.105</v>
      </c>
      <c r="AG26" s="11" t="n">
        <f aca="false">AG19+AG20+AG16*Inputs!$C$21</f>
        <v>47380.48875</v>
      </c>
      <c r="AH26" s="11" t="n">
        <f aca="false">AH19+AH20+AH16*Inputs!$C$21</f>
        <v>50125.71375</v>
      </c>
      <c r="AI26" s="11" t="n">
        <f aca="false">AI19+AI20+AI16*Inputs!$C$21</f>
        <v>53448.0975</v>
      </c>
      <c r="AJ26" s="11" t="n">
        <f aca="false">AJ19+AJ20+AJ16*Inputs!$C$21</f>
        <v>54025.25625</v>
      </c>
      <c r="AK26" s="11" t="n">
        <f aca="false">AK19+AK20+AK16*Inputs!$C$21</f>
        <v>57347.64</v>
      </c>
      <c r="AL26" s="11" t="n">
        <f aca="false">AL19+AL20+AL16*Inputs!$C$21</f>
        <v>60092.865</v>
      </c>
    </row>
    <row r="27" customFormat="false" ht="15" hidden="false" customHeight="false" outlineLevel="0" collapsed="false">
      <c r="A27" s="14" t="s">
        <v>209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 customFormat="false" ht="15" hidden="false" customHeight="false" outlineLevel="0" collapsed="false">
      <c r="A28" s="2" t="s">
        <v>210</v>
      </c>
      <c r="B28" s="4"/>
      <c r="C28" s="11" t="n">
        <f aca="false">C21*(1-Inputs!$C$23)+C19*(1-Inputs!$C$24)+C20*(1-Inputs!$C$25)+C22*(1-Inputs!$C$26)+C23*(1-Inputs!$C$27)+C24*(1-Inputs!$C$28)</f>
        <v>0</v>
      </c>
      <c r="D28" s="11" t="n">
        <f aca="false">D21*(1-Inputs!$C$23)+D19*(1-Inputs!$C$24)+D20*(1-Inputs!$C$25)+D22*(1-Inputs!$C$26)+D23*(1-Inputs!$C$27)+D24*(1-Inputs!$C$28)</f>
        <v>0</v>
      </c>
      <c r="E28" s="11" t="n">
        <f aca="false">E21*(1-Inputs!$C$23)+E19*(1-Inputs!$C$24)+E20*(1-Inputs!$C$25)+E22*(1-Inputs!$C$26)+E23*(1-Inputs!$C$27)+E24*(1-Inputs!$C$28)</f>
        <v>9000</v>
      </c>
      <c r="F28" s="11" t="n">
        <f aca="false">F21*(1-Inputs!$C$23)+F19*(1-Inputs!$C$24)+F20*(1-Inputs!$C$25)+F22*(1-Inputs!$C$26)+F23*(1-Inputs!$C$27)+F24*(1-Inputs!$C$28)</f>
        <v>1140</v>
      </c>
      <c r="G28" s="11" t="n">
        <f aca="false">G21*(1-Inputs!$C$23)+G19*(1-Inputs!$C$24)+G20*(1-Inputs!$C$25)+G22*(1-Inputs!$C$26)+G23*(1-Inputs!$C$27)+G24*(1-Inputs!$C$28)</f>
        <v>9739.95</v>
      </c>
      <c r="H28" s="11" t="n">
        <f aca="false">H21*(1-Inputs!$C$23)+H19*(1-Inputs!$C$24)+H20*(1-Inputs!$C$25)+H22*(1-Inputs!$C$26)+H23*(1-Inputs!$C$27)+H24*(1-Inputs!$C$28)</f>
        <v>1965.525</v>
      </c>
      <c r="I28" s="11" t="n">
        <f aca="false">I21*(1-Inputs!$C$23)+I19*(1-Inputs!$C$24)+I20*(1-Inputs!$C$25)+I22*(1-Inputs!$C$26)+I23*(1-Inputs!$C$27)+I24*(1-Inputs!$C$28)</f>
        <v>1965.525</v>
      </c>
      <c r="J28" s="11" t="n">
        <f aca="false">J21*(1-Inputs!$C$23)+J19*(1-Inputs!$C$24)+J20*(1-Inputs!$C$25)+J22*(1-Inputs!$C$26)+J23*(1-Inputs!$C$27)+J24*(1-Inputs!$C$28)</f>
        <v>10644</v>
      </c>
      <c r="K28" s="11" t="n">
        <f aca="false">K21*(1-Inputs!$C$23)+K19*(1-Inputs!$C$24)+K20*(1-Inputs!$C$25)+K22*(1-Inputs!$C$26)+K23*(1-Inputs!$C$27)+K24*(1-Inputs!$C$28)</f>
        <v>2791.05</v>
      </c>
      <c r="L28" s="11" t="n">
        <f aca="false">L21*(1-Inputs!$C$23)+L19*(1-Inputs!$C$24)+L20*(1-Inputs!$C$25)+L22*(1-Inputs!$C$26)+L23*(1-Inputs!$C$27)+L24*(1-Inputs!$C$28)</f>
        <v>2791.05</v>
      </c>
      <c r="M28" s="11" t="n">
        <f aca="false">M21*(1-Inputs!$C$23)+M19*(1-Inputs!$C$24)+M20*(1-Inputs!$C$25)+M22*(1-Inputs!$C$26)+M23*(1-Inputs!$C$27)+M24*(1-Inputs!$C$28)</f>
        <v>11469.525</v>
      </c>
      <c r="N28" s="11" t="n">
        <f aca="false">N21*(1-Inputs!$C$23)+N19*(1-Inputs!$C$24)+N20*(1-Inputs!$C$25)+N22*(1-Inputs!$C$26)+N23*(1-Inputs!$C$27)+N24*(1-Inputs!$C$28)</f>
        <v>3616.575</v>
      </c>
      <c r="O28" s="11" t="n">
        <f aca="false">O21*(1-Inputs!$C$23)+O19*(1-Inputs!$C$24)+O20*(1-Inputs!$C$25)+O22*(1-Inputs!$C$26)+O23*(1-Inputs!$C$27)+O24*(1-Inputs!$C$28)</f>
        <v>6489.42875</v>
      </c>
      <c r="P28" s="11" t="n">
        <f aca="false">P21*(1-Inputs!$C$23)+P19*(1-Inputs!$C$24)+P20*(1-Inputs!$C$25)+P22*(1-Inputs!$C$26)+P23*(1-Inputs!$C$27)+P24*(1-Inputs!$C$28)</f>
        <v>6571.88</v>
      </c>
      <c r="Q28" s="11" t="n">
        <f aca="false">Q21*(1-Inputs!$C$23)+Q19*(1-Inputs!$C$24)+Q20*(1-Inputs!$C$25)+Q22*(1-Inputs!$C$26)+Q23*(1-Inputs!$C$27)+Q24*(1-Inputs!$C$28)</f>
        <v>15171.83</v>
      </c>
      <c r="R28" s="11" t="n">
        <f aca="false">R21*(1-Inputs!$C$23)+R19*(1-Inputs!$C$24)+R20*(1-Inputs!$C$25)+R22*(1-Inputs!$C$26)+R23*(1-Inputs!$C$27)+R24*(1-Inputs!$C$28)</f>
        <v>7356.23</v>
      </c>
      <c r="S28" s="11" t="n">
        <f aca="false">S21*(1-Inputs!$C$23)+S19*(1-Inputs!$C$24)+S20*(1-Inputs!$C$25)+S22*(1-Inputs!$C$26)+S23*(1-Inputs!$C$27)+S24*(1-Inputs!$C$28)</f>
        <v>15956.18</v>
      </c>
      <c r="T28" s="11" t="n">
        <f aca="false">T21*(1-Inputs!$C$23)+T19*(1-Inputs!$C$24)+T20*(1-Inputs!$C$25)+T22*(1-Inputs!$C$26)+T23*(1-Inputs!$C$27)+T24*(1-Inputs!$C$28)</f>
        <v>8223.03125</v>
      </c>
      <c r="U28" s="11" t="n">
        <f aca="false">U21*(1-Inputs!$C$23)+U19*(1-Inputs!$C$24)+U20*(1-Inputs!$C$25)+U22*(1-Inputs!$C$26)+U23*(1-Inputs!$C$27)+U24*(1-Inputs!$C$28)</f>
        <v>16822.98125</v>
      </c>
      <c r="V28" s="11" t="n">
        <f aca="false">V21*(1-Inputs!$C$23)+V19*(1-Inputs!$C$24)+V20*(1-Inputs!$C$25)+V22*(1-Inputs!$C$26)+V23*(1-Inputs!$C$27)+V24*(1-Inputs!$C$28)</f>
        <v>9089.8325</v>
      </c>
      <c r="W28" s="11" t="n">
        <f aca="false">W21*(1-Inputs!$C$23)+W19*(1-Inputs!$C$24)+W20*(1-Inputs!$C$25)+W22*(1-Inputs!$C$26)+W23*(1-Inputs!$C$27)+W24*(1-Inputs!$C$28)</f>
        <v>17689.7825</v>
      </c>
      <c r="X28" s="11" t="n">
        <f aca="false">X21*(1-Inputs!$C$23)+X19*(1-Inputs!$C$24)+X20*(1-Inputs!$C$25)+X22*(1-Inputs!$C$26)+X23*(1-Inputs!$C$27)+X24*(1-Inputs!$C$28)</f>
        <v>18556.58375</v>
      </c>
      <c r="Y28" s="11" t="n">
        <f aca="false">Y21*(1-Inputs!$C$23)+Y19*(1-Inputs!$C$24)+Y20*(1-Inputs!$C$25)+Y22*(1-Inputs!$C$26)+Y23*(1-Inputs!$C$27)+Y24*(1-Inputs!$C$28)</f>
        <v>10740.98375</v>
      </c>
      <c r="Z28" s="11" t="n">
        <f aca="false">Z21*(1-Inputs!$C$23)+Z19*(1-Inputs!$C$24)+Z20*(1-Inputs!$C$25)+Z22*(1-Inputs!$C$26)+Z23*(1-Inputs!$C$27)+Z24*(1-Inputs!$C$28)</f>
        <v>19423.385</v>
      </c>
      <c r="AA28" s="11" t="n">
        <f aca="false">AA21*(1-Inputs!$C$23)+AA19*(1-Inputs!$C$24)+AA20*(1-Inputs!$C$25)+AA22*(1-Inputs!$C$26)+AA23*(1-Inputs!$C$27)+AA24*(1-Inputs!$C$28)</f>
        <v>21222.5718125</v>
      </c>
      <c r="AB28" s="11" t="n">
        <f aca="false">AB21*(1-Inputs!$C$23)+AB19*(1-Inputs!$C$24)+AB20*(1-Inputs!$C$25)+AB22*(1-Inputs!$C$26)+AB23*(1-Inputs!$C$27)+AB24*(1-Inputs!$C$28)</f>
        <v>13446.1893125</v>
      </c>
      <c r="AC28" s="11" t="n">
        <f aca="false">AC21*(1-Inputs!$C$23)+AC19*(1-Inputs!$C$24)+AC20*(1-Inputs!$C$25)+AC22*(1-Inputs!$C$26)+AC23*(1-Inputs!$C$27)+AC24*(1-Inputs!$C$28)</f>
        <v>22132.713125</v>
      </c>
      <c r="AD28" s="11" t="n">
        <f aca="false">AD21*(1-Inputs!$C$23)+AD19*(1-Inputs!$C$24)+AD20*(1-Inputs!$C$25)+AD22*(1-Inputs!$C$26)+AD23*(1-Inputs!$C$27)+AD24*(1-Inputs!$C$28)</f>
        <v>23042.8544375</v>
      </c>
      <c r="AE28" s="11" t="n">
        <f aca="false">AE21*(1-Inputs!$C$23)+AE19*(1-Inputs!$C$24)+AE20*(1-Inputs!$C$25)+AE22*(1-Inputs!$C$26)+AE23*(1-Inputs!$C$27)+AE24*(1-Inputs!$C$28)</f>
        <v>15266.4719375</v>
      </c>
      <c r="AF28" s="11" t="n">
        <f aca="false">AF21*(1-Inputs!$C$23)+AF19*(1-Inputs!$C$24)+AF20*(1-Inputs!$C$25)+AF22*(1-Inputs!$C$26)+AF23*(1-Inputs!$C$27)+AF24*(1-Inputs!$C$28)</f>
        <v>23952.99575</v>
      </c>
      <c r="AG28" s="11" t="n">
        <f aca="false">AG21*(1-Inputs!$C$23)+AG19*(1-Inputs!$C$24)+AG20*(1-Inputs!$C$25)+AG22*(1-Inputs!$C$26)+AG23*(1-Inputs!$C$27)+AG24*(1-Inputs!$C$28)</f>
        <v>24863.1370625</v>
      </c>
      <c r="AH28" s="11" t="n">
        <f aca="false">AH21*(1-Inputs!$C$23)+AH19*(1-Inputs!$C$24)+AH20*(1-Inputs!$C$25)+AH22*(1-Inputs!$C$26)+AH23*(1-Inputs!$C$27)+AH24*(1-Inputs!$C$28)</f>
        <v>25686.7045625</v>
      </c>
      <c r="AI28" s="11" t="n">
        <f aca="false">AI21*(1-Inputs!$C$23)+AI19*(1-Inputs!$C$24)+AI20*(1-Inputs!$C$25)+AI22*(1-Inputs!$C$26)+AI23*(1-Inputs!$C$27)+AI24*(1-Inputs!$C$28)</f>
        <v>17996.895875</v>
      </c>
      <c r="AJ28" s="11" t="n">
        <f aca="false">AJ21*(1-Inputs!$C$23)+AJ19*(1-Inputs!$C$24)+AJ20*(1-Inputs!$C$25)+AJ22*(1-Inputs!$C$26)+AJ23*(1-Inputs!$C$27)+AJ24*(1-Inputs!$C$28)</f>
        <v>26683.4196875</v>
      </c>
      <c r="AK28" s="11" t="n">
        <f aca="false">AK21*(1-Inputs!$C$23)+AK19*(1-Inputs!$C$24)+AK20*(1-Inputs!$C$25)+AK22*(1-Inputs!$C$26)+AK23*(1-Inputs!$C$27)+AK24*(1-Inputs!$C$28)</f>
        <v>27593.561</v>
      </c>
      <c r="AL28" s="11" t="n">
        <f aca="false">AL21*(1-Inputs!$C$23)+AL19*(1-Inputs!$C$24)+AL20*(1-Inputs!$C$25)+AL22*(1-Inputs!$C$26)+AL23*(1-Inputs!$C$27)+AL24*(1-Inputs!$C$28)</f>
        <v>28417.1285</v>
      </c>
    </row>
    <row r="29" customFormat="false" ht="15" hidden="false" customHeight="false" outlineLevel="0" collapsed="false">
      <c r="A29" s="3" t="s">
        <v>211</v>
      </c>
      <c r="B29" s="4"/>
      <c r="C29" s="11" t="n">
        <f aca="false">C25-C28</f>
        <v>0</v>
      </c>
      <c r="D29" s="11" t="n">
        <f aca="false">D25-D28</f>
        <v>0</v>
      </c>
      <c r="E29" s="11" t="n">
        <f aca="false">E25-E28</f>
        <v>13240</v>
      </c>
      <c r="F29" s="11" t="n">
        <f aca="false">F25-F28</f>
        <v>2660</v>
      </c>
      <c r="G29" s="11" t="n">
        <f aca="false">G25-G28</f>
        <v>15411.05</v>
      </c>
      <c r="H29" s="11" t="n">
        <f aca="false">H25-H28</f>
        <v>4847.975</v>
      </c>
      <c r="I29" s="11" t="n">
        <f aca="false">I25-I28</f>
        <v>4847.975</v>
      </c>
      <c r="J29" s="11" t="n">
        <f aca="false">J25-J28</f>
        <v>18044</v>
      </c>
      <c r="K29" s="11" t="n">
        <f aca="false">K25-K28</f>
        <v>7035.95</v>
      </c>
      <c r="L29" s="11" t="n">
        <f aca="false">L25-L28</f>
        <v>7035.95</v>
      </c>
      <c r="M29" s="11" t="n">
        <f aca="false">M25-M28</f>
        <v>20231.975</v>
      </c>
      <c r="N29" s="11" t="n">
        <f aca="false">N25-N28</f>
        <v>9223.925</v>
      </c>
      <c r="O29" s="11" t="n">
        <f aca="false">O25-O28</f>
        <v>14684.59625</v>
      </c>
      <c r="P29" s="11" t="n">
        <f aca="false">P25-P28</f>
        <v>15151.82</v>
      </c>
      <c r="Q29" s="11" t="n">
        <f aca="false">Q25-Q28</f>
        <v>27902.87</v>
      </c>
      <c r="R29" s="11" t="n">
        <f aca="false">R25-R28</f>
        <v>16981.97</v>
      </c>
      <c r="S29" s="11" t="n">
        <f aca="false">S25-S28</f>
        <v>29733.02</v>
      </c>
      <c r="T29" s="11" t="n">
        <f aca="false">T25-T28</f>
        <v>19279.34375</v>
      </c>
      <c r="U29" s="11" t="n">
        <f aca="false">U25-U28</f>
        <v>32030.39375</v>
      </c>
      <c r="V29" s="11" t="n">
        <f aca="false">V25-V28</f>
        <v>21576.7175</v>
      </c>
      <c r="W29" s="11" t="n">
        <f aca="false">W25-W28</f>
        <v>34327.7675</v>
      </c>
      <c r="X29" s="11" t="n">
        <f aca="false">X25-X28</f>
        <v>36625.14125</v>
      </c>
      <c r="Y29" s="11" t="n">
        <f aca="false">Y25-Y28</f>
        <v>25704.24125</v>
      </c>
      <c r="Z29" s="11" t="n">
        <f aca="false">Z25-Z28</f>
        <v>38922.515</v>
      </c>
      <c r="AA29" s="11" t="n">
        <f aca="false">AA25-AA28</f>
        <v>43289.3819375</v>
      </c>
      <c r="AB29" s="11" t="n">
        <f aca="false">AB25-AB28</f>
        <v>32459.9894375</v>
      </c>
      <c r="AC29" s="11" t="n">
        <f aca="false">AC25-AC28</f>
        <v>45701.624375</v>
      </c>
      <c r="AD29" s="11" t="n">
        <f aca="false">AD25-AD28</f>
        <v>48113.8668125</v>
      </c>
      <c r="AE29" s="11" t="n">
        <f aca="false">AE25-AE28</f>
        <v>37284.4743125</v>
      </c>
      <c r="AF29" s="11" t="n">
        <f aca="false">AF25-AF28</f>
        <v>50526.10925</v>
      </c>
      <c r="AG29" s="11" t="n">
        <f aca="false">AG25-AG28</f>
        <v>52938.3516875</v>
      </c>
      <c r="AH29" s="11" t="n">
        <f aca="false">AH25-AH28</f>
        <v>54860.0091875</v>
      </c>
      <c r="AI29" s="11" t="n">
        <f aca="false">AI25-AI28</f>
        <v>44521.201625</v>
      </c>
      <c r="AJ29" s="11" t="n">
        <f aca="false">AJ25-AJ28</f>
        <v>57762.8365625</v>
      </c>
      <c r="AK29" s="11" t="n">
        <f aca="false">AK25-AK28</f>
        <v>60175.079</v>
      </c>
      <c r="AL29" s="11" t="n">
        <f aca="false">AL25-AL28</f>
        <v>62096.7365</v>
      </c>
    </row>
    <row r="30" customFormat="false" ht="15" hidden="false" customHeight="false" outlineLevel="0" collapsed="false">
      <c r="A30" s="14" t="s">
        <v>212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 customFormat="false" ht="15" hidden="false" customHeight="false" outlineLevel="0" collapsed="false">
      <c r="A31" s="2" t="s">
        <v>213</v>
      </c>
      <c r="B31" s="4"/>
      <c r="C31" s="11" t="n">
        <f aca="false">CHOOSE(C$3,Inputs!$C$30,Inputs!$C$31,Inputs!$C$32)/12</f>
        <v>5833.33333333333</v>
      </c>
      <c r="D31" s="11" t="n">
        <f aca="false">CHOOSE(D$3,Inputs!$C$30,Inputs!$C$31,Inputs!$C$32)/12</f>
        <v>5833.33333333333</v>
      </c>
      <c r="E31" s="11" t="n">
        <f aca="false">CHOOSE(E$3,Inputs!$C$30,Inputs!$C$31,Inputs!$C$32)/12</f>
        <v>5833.33333333333</v>
      </c>
      <c r="F31" s="11" t="n">
        <f aca="false">CHOOSE(F$3,Inputs!$C$30,Inputs!$C$31,Inputs!$C$32)/12</f>
        <v>5833.33333333333</v>
      </c>
      <c r="G31" s="11" t="n">
        <f aca="false">CHOOSE(G$3,Inputs!$C$30,Inputs!$C$31,Inputs!$C$32)/12</f>
        <v>5833.33333333333</v>
      </c>
      <c r="H31" s="11" t="n">
        <f aca="false">CHOOSE(H$3,Inputs!$C$30,Inputs!$C$31,Inputs!$C$32)/12</f>
        <v>5833.33333333333</v>
      </c>
      <c r="I31" s="11" t="n">
        <f aca="false">CHOOSE(I$3,Inputs!$C$30,Inputs!$C$31,Inputs!$C$32)/12</f>
        <v>5833.33333333333</v>
      </c>
      <c r="J31" s="11" t="n">
        <f aca="false">CHOOSE(J$3,Inputs!$C$30,Inputs!$C$31,Inputs!$C$32)/12</f>
        <v>5833.33333333333</v>
      </c>
      <c r="K31" s="11" t="n">
        <f aca="false">CHOOSE(K$3,Inputs!$C$30,Inputs!$C$31,Inputs!$C$32)/12</f>
        <v>5833.33333333333</v>
      </c>
      <c r="L31" s="11" t="n">
        <f aca="false">CHOOSE(L$3,Inputs!$C$30,Inputs!$C$31,Inputs!$C$32)/12</f>
        <v>5833.33333333333</v>
      </c>
      <c r="M31" s="11" t="n">
        <f aca="false">CHOOSE(M$3,Inputs!$C$30,Inputs!$C$31,Inputs!$C$32)/12</f>
        <v>5833.33333333333</v>
      </c>
      <c r="N31" s="11" t="n">
        <f aca="false">CHOOSE(N$3,Inputs!$C$30,Inputs!$C$31,Inputs!$C$32)/12</f>
        <v>5833.33333333333</v>
      </c>
      <c r="O31" s="11" t="n">
        <f aca="false">CHOOSE(O$3,Inputs!$C$30,Inputs!$C$31,Inputs!$C$32)/12</f>
        <v>8333.33333333333</v>
      </c>
      <c r="P31" s="11" t="n">
        <f aca="false">CHOOSE(P$3,Inputs!$C$30,Inputs!$C$31,Inputs!$C$32)/12</f>
        <v>8333.33333333333</v>
      </c>
      <c r="Q31" s="11" t="n">
        <f aca="false">CHOOSE(Q$3,Inputs!$C$30,Inputs!$C$31,Inputs!$C$32)/12</f>
        <v>8333.33333333333</v>
      </c>
      <c r="R31" s="11" t="n">
        <f aca="false">CHOOSE(R$3,Inputs!$C$30,Inputs!$C$31,Inputs!$C$32)/12</f>
        <v>8333.33333333333</v>
      </c>
      <c r="S31" s="11" t="n">
        <f aca="false">CHOOSE(S$3,Inputs!$C$30,Inputs!$C$31,Inputs!$C$32)/12</f>
        <v>8333.33333333333</v>
      </c>
      <c r="T31" s="11" t="n">
        <f aca="false">CHOOSE(T$3,Inputs!$C$30,Inputs!$C$31,Inputs!$C$32)/12</f>
        <v>8333.33333333333</v>
      </c>
      <c r="U31" s="11" t="n">
        <f aca="false">CHOOSE(U$3,Inputs!$C$30,Inputs!$C$31,Inputs!$C$32)/12</f>
        <v>8333.33333333333</v>
      </c>
      <c r="V31" s="11" t="n">
        <f aca="false">CHOOSE(V$3,Inputs!$C$30,Inputs!$C$31,Inputs!$C$32)/12</f>
        <v>8333.33333333333</v>
      </c>
      <c r="W31" s="11" t="n">
        <f aca="false">CHOOSE(W$3,Inputs!$C$30,Inputs!$C$31,Inputs!$C$32)/12</f>
        <v>8333.33333333333</v>
      </c>
      <c r="X31" s="11" t="n">
        <f aca="false">CHOOSE(X$3,Inputs!$C$30,Inputs!$C$31,Inputs!$C$32)/12</f>
        <v>8333.33333333333</v>
      </c>
      <c r="Y31" s="11" t="n">
        <f aca="false">CHOOSE(Y$3,Inputs!$C$30,Inputs!$C$31,Inputs!$C$32)/12</f>
        <v>8333.33333333333</v>
      </c>
      <c r="Z31" s="11" t="n">
        <f aca="false">CHOOSE(Z$3,Inputs!$C$30,Inputs!$C$31,Inputs!$C$32)/12</f>
        <v>8333.33333333333</v>
      </c>
      <c r="AA31" s="11" t="n">
        <f aca="false">CHOOSE(AA$3,Inputs!$C$30,Inputs!$C$31,Inputs!$C$32)/12</f>
        <v>10833.3333333333</v>
      </c>
      <c r="AB31" s="11" t="n">
        <f aca="false">CHOOSE(AB$3,Inputs!$C$30,Inputs!$C$31,Inputs!$C$32)/12</f>
        <v>10833.3333333333</v>
      </c>
      <c r="AC31" s="11" t="n">
        <f aca="false">CHOOSE(AC$3,Inputs!$C$30,Inputs!$C$31,Inputs!$C$32)/12</f>
        <v>10833.3333333333</v>
      </c>
      <c r="AD31" s="11" t="n">
        <f aca="false">CHOOSE(AD$3,Inputs!$C$30,Inputs!$C$31,Inputs!$C$32)/12</f>
        <v>10833.3333333333</v>
      </c>
      <c r="AE31" s="11" t="n">
        <f aca="false">CHOOSE(AE$3,Inputs!$C$30,Inputs!$C$31,Inputs!$C$32)/12</f>
        <v>10833.3333333333</v>
      </c>
      <c r="AF31" s="11" t="n">
        <f aca="false">CHOOSE(AF$3,Inputs!$C$30,Inputs!$C$31,Inputs!$C$32)/12</f>
        <v>10833.3333333333</v>
      </c>
      <c r="AG31" s="11" t="n">
        <f aca="false">CHOOSE(AG$3,Inputs!$C$30,Inputs!$C$31,Inputs!$C$32)/12</f>
        <v>10833.3333333333</v>
      </c>
      <c r="AH31" s="11" t="n">
        <f aca="false">CHOOSE(AH$3,Inputs!$C$30,Inputs!$C$31,Inputs!$C$32)/12</f>
        <v>10833.3333333333</v>
      </c>
      <c r="AI31" s="11" t="n">
        <f aca="false">CHOOSE(AI$3,Inputs!$C$30,Inputs!$C$31,Inputs!$C$32)/12</f>
        <v>10833.3333333333</v>
      </c>
      <c r="AJ31" s="11" t="n">
        <f aca="false">CHOOSE(AJ$3,Inputs!$C$30,Inputs!$C$31,Inputs!$C$32)/12</f>
        <v>10833.3333333333</v>
      </c>
      <c r="AK31" s="11" t="n">
        <f aca="false">CHOOSE(AK$3,Inputs!$C$30,Inputs!$C$31,Inputs!$C$32)/12</f>
        <v>10833.3333333333</v>
      </c>
      <c r="AL31" s="11" t="n">
        <f aca="false">CHOOSE(AL$3,Inputs!$C$30,Inputs!$C$31,Inputs!$C$32)/12</f>
        <v>10833.3333333333</v>
      </c>
    </row>
    <row r="32" customFormat="false" ht="15" hidden="false" customHeight="false" outlineLevel="0" collapsed="false">
      <c r="A32" s="2" t="s">
        <v>214</v>
      </c>
      <c r="B32" s="4"/>
      <c r="C32" s="11" t="n">
        <f aca="false">C31*Inputs!$C$33</f>
        <v>446.25</v>
      </c>
      <c r="D32" s="11" t="n">
        <f aca="false">D31*Inputs!$C$33</f>
        <v>446.25</v>
      </c>
      <c r="E32" s="11" t="n">
        <f aca="false">E31*Inputs!$C$33</f>
        <v>446.25</v>
      </c>
      <c r="F32" s="11" t="n">
        <f aca="false">F31*Inputs!$C$33</f>
        <v>446.25</v>
      </c>
      <c r="G32" s="11" t="n">
        <f aca="false">G31*Inputs!$C$33</f>
        <v>446.25</v>
      </c>
      <c r="H32" s="11" t="n">
        <f aca="false">H31*Inputs!$C$33</f>
        <v>446.25</v>
      </c>
      <c r="I32" s="11" t="n">
        <f aca="false">I31*Inputs!$C$33</f>
        <v>446.25</v>
      </c>
      <c r="J32" s="11" t="n">
        <f aca="false">J31*Inputs!$C$33</f>
        <v>446.25</v>
      </c>
      <c r="K32" s="11" t="n">
        <f aca="false">K31*Inputs!$C$33</f>
        <v>446.25</v>
      </c>
      <c r="L32" s="11" t="n">
        <f aca="false">L31*Inputs!$C$33</f>
        <v>446.25</v>
      </c>
      <c r="M32" s="11" t="n">
        <f aca="false">M31*Inputs!$C$33</f>
        <v>446.25</v>
      </c>
      <c r="N32" s="11" t="n">
        <f aca="false">N31*Inputs!$C$33</f>
        <v>446.25</v>
      </c>
      <c r="O32" s="11" t="n">
        <f aca="false">O31*Inputs!$C$33</f>
        <v>637.5</v>
      </c>
      <c r="P32" s="11" t="n">
        <f aca="false">P31*Inputs!$C$33</f>
        <v>637.5</v>
      </c>
      <c r="Q32" s="11" t="n">
        <f aca="false">Q31*Inputs!$C$33</f>
        <v>637.5</v>
      </c>
      <c r="R32" s="11" t="n">
        <f aca="false">R31*Inputs!$C$33</f>
        <v>637.5</v>
      </c>
      <c r="S32" s="11" t="n">
        <f aca="false">S31*Inputs!$C$33</f>
        <v>637.5</v>
      </c>
      <c r="T32" s="11" t="n">
        <f aca="false">T31*Inputs!$C$33</f>
        <v>637.5</v>
      </c>
      <c r="U32" s="11" t="n">
        <f aca="false">U31*Inputs!$C$33</f>
        <v>637.5</v>
      </c>
      <c r="V32" s="11" t="n">
        <f aca="false">V31*Inputs!$C$33</f>
        <v>637.5</v>
      </c>
      <c r="W32" s="11" t="n">
        <f aca="false">W31*Inputs!$C$33</f>
        <v>637.5</v>
      </c>
      <c r="X32" s="11" t="n">
        <f aca="false">X31*Inputs!$C$33</f>
        <v>637.5</v>
      </c>
      <c r="Y32" s="11" t="n">
        <f aca="false">Y31*Inputs!$C$33</f>
        <v>637.5</v>
      </c>
      <c r="Z32" s="11" t="n">
        <f aca="false">Z31*Inputs!$C$33</f>
        <v>637.5</v>
      </c>
      <c r="AA32" s="11" t="n">
        <f aca="false">AA31*Inputs!$C$33</f>
        <v>828.75</v>
      </c>
      <c r="AB32" s="11" t="n">
        <f aca="false">AB31*Inputs!$C$33</f>
        <v>828.75</v>
      </c>
      <c r="AC32" s="11" t="n">
        <f aca="false">AC31*Inputs!$C$33</f>
        <v>828.75</v>
      </c>
      <c r="AD32" s="11" t="n">
        <f aca="false">AD31*Inputs!$C$33</f>
        <v>828.75</v>
      </c>
      <c r="AE32" s="11" t="n">
        <f aca="false">AE31*Inputs!$C$33</f>
        <v>828.75</v>
      </c>
      <c r="AF32" s="11" t="n">
        <f aca="false">AF31*Inputs!$C$33</f>
        <v>828.75</v>
      </c>
      <c r="AG32" s="11" t="n">
        <f aca="false">AG31*Inputs!$C$33</f>
        <v>828.75</v>
      </c>
      <c r="AH32" s="11" t="n">
        <f aca="false">AH31*Inputs!$C$33</f>
        <v>828.75</v>
      </c>
      <c r="AI32" s="11" t="n">
        <f aca="false">AI31*Inputs!$C$33</f>
        <v>828.75</v>
      </c>
      <c r="AJ32" s="11" t="n">
        <f aca="false">AJ31*Inputs!$C$33</f>
        <v>828.75</v>
      </c>
      <c r="AK32" s="11" t="n">
        <f aca="false">AK31*Inputs!$C$33</f>
        <v>828.75</v>
      </c>
      <c r="AL32" s="11" t="n">
        <f aca="false">AL31*Inputs!$C$33</f>
        <v>828.75</v>
      </c>
    </row>
    <row r="33" customFormat="false" ht="15" hidden="false" customHeight="false" outlineLevel="0" collapsed="false">
      <c r="A33" s="2" t="s">
        <v>215</v>
      </c>
      <c r="B33" s="4"/>
      <c r="C33" s="11" t="n">
        <f aca="false">IF(C$2&gt;=Inputs!$C$34,Inputs!$C$35/12,0)+IF(C$2&gt;=Inputs!$C$36,Inputs!$C$37/12,0)</f>
        <v>0</v>
      </c>
      <c r="D33" s="11" t="n">
        <f aca="false">IF(D$2&gt;=Inputs!$C$34,Inputs!$C$35/12,0)+IF(D$2&gt;=Inputs!$C$36,Inputs!$C$37/12,0)</f>
        <v>0</v>
      </c>
      <c r="E33" s="11" t="n">
        <f aca="false">IF(E$2&gt;=Inputs!$C$34,Inputs!$C$35/12,0)+IF(E$2&gt;=Inputs!$C$36,Inputs!$C$37/12,0)</f>
        <v>0</v>
      </c>
      <c r="F33" s="11" t="n">
        <f aca="false">IF(F$2&gt;=Inputs!$C$34,Inputs!$C$35/12,0)+IF(F$2&gt;=Inputs!$C$36,Inputs!$C$37/12,0)</f>
        <v>0</v>
      </c>
      <c r="G33" s="11" t="n">
        <f aca="false">IF(G$2&gt;=Inputs!$C$34,Inputs!$C$35/12,0)+IF(G$2&gt;=Inputs!$C$36,Inputs!$C$37/12,0)</f>
        <v>0</v>
      </c>
      <c r="H33" s="11" t="n">
        <f aca="false">IF(H$2&gt;=Inputs!$C$34,Inputs!$C$35/12,0)+IF(H$2&gt;=Inputs!$C$36,Inputs!$C$37/12,0)</f>
        <v>0</v>
      </c>
      <c r="I33" s="11" t="n">
        <f aca="false">IF(I$2&gt;=Inputs!$C$34,Inputs!$C$35/12,0)+IF(I$2&gt;=Inputs!$C$36,Inputs!$C$37/12,0)</f>
        <v>0</v>
      </c>
      <c r="J33" s="11" t="n">
        <f aca="false">IF(J$2&gt;=Inputs!$C$34,Inputs!$C$35/12,0)+IF(J$2&gt;=Inputs!$C$36,Inputs!$C$37/12,0)</f>
        <v>0</v>
      </c>
      <c r="K33" s="11" t="n">
        <f aca="false">IF(K$2&gt;=Inputs!$C$34,Inputs!$C$35/12,0)+IF(K$2&gt;=Inputs!$C$36,Inputs!$C$37/12,0)</f>
        <v>0</v>
      </c>
      <c r="L33" s="11" t="n">
        <f aca="false">IF(L$2&gt;=Inputs!$C$34,Inputs!$C$35/12,0)+IF(L$2&gt;=Inputs!$C$36,Inputs!$C$37/12,0)</f>
        <v>6875</v>
      </c>
      <c r="M33" s="11" t="n">
        <f aca="false">IF(M$2&gt;=Inputs!$C$34,Inputs!$C$35/12,0)+IF(M$2&gt;=Inputs!$C$36,Inputs!$C$37/12,0)</f>
        <v>6875</v>
      </c>
      <c r="N33" s="11" t="n">
        <f aca="false">IF(N$2&gt;=Inputs!$C$34,Inputs!$C$35/12,0)+IF(N$2&gt;=Inputs!$C$36,Inputs!$C$37/12,0)</f>
        <v>6875</v>
      </c>
      <c r="O33" s="11" t="n">
        <f aca="false">IF(O$2&gt;=Inputs!$C$34,Inputs!$C$35/12,0)+IF(O$2&gt;=Inputs!$C$36,Inputs!$C$37/12,0)</f>
        <v>6875</v>
      </c>
      <c r="P33" s="11" t="n">
        <f aca="false">IF(P$2&gt;=Inputs!$C$34,Inputs!$C$35/12,0)+IF(P$2&gt;=Inputs!$C$36,Inputs!$C$37/12,0)</f>
        <v>6875</v>
      </c>
      <c r="Q33" s="11" t="n">
        <f aca="false">IF(Q$2&gt;=Inputs!$C$34,Inputs!$C$35/12,0)+IF(Q$2&gt;=Inputs!$C$36,Inputs!$C$37/12,0)</f>
        <v>6875</v>
      </c>
      <c r="R33" s="11" t="n">
        <f aca="false">IF(R$2&gt;=Inputs!$C$34,Inputs!$C$35/12,0)+IF(R$2&gt;=Inputs!$C$36,Inputs!$C$37/12,0)</f>
        <v>6875</v>
      </c>
      <c r="S33" s="11" t="n">
        <f aca="false">IF(S$2&gt;=Inputs!$C$34,Inputs!$C$35/12,0)+IF(S$2&gt;=Inputs!$C$36,Inputs!$C$37/12,0)</f>
        <v>6875</v>
      </c>
      <c r="T33" s="11" t="n">
        <f aca="false">IF(T$2&gt;=Inputs!$C$34,Inputs!$C$35/12,0)+IF(T$2&gt;=Inputs!$C$36,Inputs!$C$37/12,0)</f>
        <v>6875</v>
      </c>
      <c r="U33" s="11" t="n">
        <f aca="false">IF(U$2&gt;=Inputs!$C$34,Inputs!$C$35/12,0)+IF(U$2&gt;=Inputs!$C$36,Inputs!$C$37/12,0)</f>
        <v>6875</v>
      </c>
      <c r="V33" s="11" t="n">
        <f aca="false">IF(V$2&gt;=Inputs!$C$34,Inputs!$C$35/12,0)+IF(V$2&gt;=Inputs!$C$36,Inputs!$C$37/12,0)</f>
        <v>6875</v>
      </c>
      <c r="W33" s="11" t="n">
        <f aca="false">IF(W$2&gt;=Inputs!$C$34,Inputs!$C$35/12,0)+IF(W$2&gt;=Inputs!$C$36,Inputs!$C$37/12,0)</f>
        <v>6875</v>
      </c>
      <c r="X33" s="11" t="n">
        <f aca="false">IF(X$2&gt;=Inputs!$C$34,Inputs!$C$35/12,0)+IF(X$2&gt;=Inputs!$C$36,Inputs!$C$37/12,0)</f>
        <v>6875</v>
      </c>
      <c r="Y33" s="11" t="n">
        <f aca="false">IF(Y$2&gt;=Inputs!$C$34,Inputs!$C$35/12,0)+IF(Y$2&gt;=Inputs!$C$36,Inputs!$C$37/12,0)</f>
        <v>6875</v>
      </c>
      <c r="Z33" s="11" t="n">
        <f aca="false">IF(Z$2&gt;=Inputs!$C$34,Inputs!$C$35/12,0)+IF(Z$2&gt;=Inputs!$C$36,Inputs!$C$37/12,0)</f>
        <v>15000</v>
      </c>
      <c r="AA33" s="11" t="n">
        <f aca="false">IF(AA$2&gt;=Inputs!$C$34,Inputs!$C$35/12,0)+IF(AA$2&gt;=Inputs!$C$36,Inputs!$C$37/12,0)</f>
        <v>15000</v>
      </c>
      <c r="AB33" s="11" t="n">
        <f aca="false">IF(AB$2&gt;=Inputs!$C$34,Inputs!$C$35/12,0)+IF(AB$2&gt;=Inputs!$C$36,Inputs!$C$37/12,0)</f>
        <v>15000</v>
      </c>
      <c r="AC33" s="11" t="n">
        <f aca="false">IF(AC$2&gt;=Inputs!$C$34,Inputs!$C$35/12,0)+IF(AC$2&gt;=Inputs!$C$36,Inputs!$C$37/12,0)</f>
        <v>15000</v>
      </c>
      <c r="AD33" s="11" t="n">
        <f aca="false">IF(AD$2&gt;=Inputs!$C$34,Inputs!$C$35/12,0)+IF(AD$2&gt;=Inputs!$C$36,Inputs!$C$37/12,0)</f>
        <v>15000</v>
      </c>
      <c r="AE33" s="11" t="n">
        <f aca="false">IF(AE$2&gt;=Inputs!$C$34,Inputs!$C$35/12,0)+IF(AE$2&gt;=Inputs!$C$36,Inputs!$C$37/12,0)</f>
        <v>15000</v>
      </c>
      <c r="AF33" s="11" t="n">
        <f aca="false">IF(AF$2&gt;=Inputs!$C$34,Inputs!$C$35/12,0)+IF(AF$2&gt;=Inputs!$C$36,Inputs!$C$37/12,0)</f>
        <v>15000</v>
      </c>
      <c r="AG33" s="11" t="n">
        <f aca="false">IF(AG$2&gt;=Inputs!$C$34,Inputs!$C$35/12,0)+IF(AG$2&gt;=Inputs!$C$36,Inputs!$C$37/12,0)</f>
        <v>15000</v>
      </c>
      <c r="AH33" s="11" t="n">
        <f aca="false">IF(AH$2&gt;=Inputs!$C$34,Inputs!$C$35/12,0)+IF(AH$2&gt;=Inputs!$C$36,Inputs!$C$37/12,0)</f>
        <v>15000</v>
      </c>
      <c r="AI33" s="11" t="n">
        <f aca="false">IF(AI$2&gt;=Inputs!$C$34,Inputs!$C$35/12,0)+IF(AI$2&gt;=Inputs!$C$36,Inputs!$C$37/12,0)</f>
        <v>15000</v>
      </c>
      <c r="AJ33" s="11" t="n">
        <f aca="false">IF(AJ$2&gt;=Inputs!$C$34,Inputs!$C$35/12,0)+IF(AJ$2&gt;=Inputs!$C$36,Inputs!$C$37/12,0)</f>
        <v>15000</v>
      </c>
      <c r="AK33" s="11" t="n">
        <f aca="false">IF(AK$2&gt;=Inputs!$C$34,Inputs!$C$35/12,0)+IF(AK$2&gt;=Inputs!$C$36,Inputs!$C$37/12,0)</f>
        <v>15000</v>
      </c>
      <c r="AL33" s="11" t="n">
        <f aca="false">IF(AL$2&gt;=Inputs!$C$34,Inputs!$C$35/12,0)+IF(AL$2&gt;=Inputs!$C$36,Inputs!$C$37/12,0)</f>
        <v>15000</v>
      </c>
    </row>
    <row r="34" customFormat="false" ht="15" hidden="false" customHeight="false" outlineLevel="0" collapsed="false">
      <c r="A34" s="2" t="s">
        <v>216</v>
      </c>
      <c r="B34" s="4"/>
      <c r="C34" s="11" t="n">
        <f aca="false">IF(AND(C$2&gt;=Inputs!$C$38,C$2&lt;Inputs!$C$34),Inputs!$C$39+Inputs!$C$40,0)</f>
        <v>0</v>
      </c>
      <c r="D34" s="11" t="n">
        <f aca="false">IF(AND(D$2&gt;=Inputs!$C$38,D$2&lt;Inputs!$C$34),Inputs!$C$39+Inputs!$C$40,0)</f>
        <v>0</v>
      </c>
      <c r="E34" s="11" t="n">
        <f aca="false">IF(AND(E$2&gt;=Inputs!$C$38,E$2&lt;Inputs!$C$34),Inputs!$C$39+Inputs!$C$40,0)</f>
        <v>0</v>
      </c>
      <c r="F34" s="11" t="n">
        <f aca="false">IF(AND(F$2&gt;=Inputs!$C$38,F$2&lt;Inputs!$C$34),Inputs!$C$39+Inputs!$C$40,0)</f>
        <v>0</v>
      </c>
      <c r="G34" s="11" t="n">
        <f aca="false">IF(AND(G$2&gt;=Inputs!$C$38,G$2&lt;Inputs!$C$34),Inputs!$C$39+Inputs!$C$40,0)</f>
        <v>0</v>
      </c>
      <c r="H34" s="11" t="n">
        <f aca="false">IF(AND(H$2&gt;=Inputs!$C$38,H$2&lt;Inputs!$C$34),Inputs!$C$39+Inputs!$C$40,0)</f>
        <v>0</v>
      </c>
      <c r="I34" s="11" t="n">
        <f aca="false">IF(AND(I$2&gt;=Inputs!$C$38,I$2&lt;Inputs!$C$34),Inputs!$C$39+Inputs!$C$40,0)</f>
        <v>0</v>
      </c>
      <c r="J34" s="11" t="n">
        <f aca="false">IF(AND(J$2&gt;=Inputs!$C$38,J$2&lt;Inputs!$C$34),Inputs!$C$39+Inputs!$C$40,0)</f>
        <v>0</v>
      </c>
      <c r="K34" s="11" t="n">
        <f aca="false">IF(AND(K$2&gt;=Inputs!$C$38,K$2&lt;Inputs!$C$34),Inputs!$C$39+Inputs!$C$40,0)</f>
        <v>0</v>
      </c>
      <c r="L34" s="11" t="n">
        <f aca="false">IF(AND(L$2&gt;=Inputs!$C$38,L$2&lt;Inputs!$C$34),Inputs!$C$39+Inputs!$C$40,0)</f>
        <v>0</v>
      </c>
      <c r="M34" s="11" t="n">
        <f aca="false">IF(AND(M$2&gt;=Inputs!$C$38,M$2&lt;Inputs!$C$34),Inputs!$C$39+Inputs!$C$40,0)</f>
        <v>0</v>
      </c>
      <c r="N34" s="11" t="n">
        <f aca="false">IF(AND(N$2&gt;=Inputs!$C$38,N$2&lt;Inputs!$C$34),Inputs!$C$39+Inputs!$C$40,0)</f>
        <v>0</v>
      </c>
      <c r="O34" s="11" t="n">
        <f aca="false">IF(AND(O$2&gt;=Inputs!$C$38,O$2&lt;Inputs!$C$34),Inputs!$C$39+Inputs!$C$40,0)</f>
        <v>0</v>
      </c>
      <c r="P34" s="11" t="n">
        <f aca="false">IF(AND(P$2&gt;=Inputs!$C$38,P$2&lt;Inputs!$C$34),Inputs!$C$39+Inputs!$C$40,0)</f>
        <v>0</v>
      </c>
      <c r="Q34" s="11" t="n">
        <f aca="false">IF(AND(Q$2&gt;=Inputs!$C$38,Q$2&lt;Inputs!$C$34),Inputs!$C$39+Inputs!$C$40,0)</f>
        <v>0</v>
      </c>
      <c r="R34" s="11" t="n">
        <f aca="false">IF(AND(R$2&gt;=Inputs!$C$38,R$2&lt;Inputs!$C$34),Inputs!$C$39+Inputs!$C$40,0)</f>
        <v>0</v>
      </c>
      <c r="S34" s="11" t="n">
        <f aca="false">IF(AND(S$2&gt;=Inputs!$C$38,S$2&lt;Inputs!$C$34),Inputs!$C$39+Inputs!$C$40,0)</f>
        <v>0</v>
      </c>
      <c r="T34" s="11" t="n">
        <f aca="false">IF(AND(T$2&gt;=Inputs!$C$38,T$2&lt;Inputs!$C$34),Inputs!$C$39+Inputs!$C$40,0)</f>
        <v>0</v>
      </c>
      <c r="U34" s="11" t="n">
        <f aca="false">IF(AND(U$2&gt;=Inputs!$C$38,U$2&lt;Inputs!$C$34),Inputs!$C$39+Inputs!$C$40,0)</f>
        <v>0</v>
      </c>
      <c r="V34" s="11" t="n">
        <f aca="false">IF(AND(V$2&gt;=Inputs!$C$38,V$2&lt;Inputs!$C$34),Inputs!$C$39+Inputs!$C$40,0)</f>
        <v>0</v>
      </c>
      <c r="W34" s="11" t="n">
        <f aca="false">IF(AND(W$2&gt;=Inputs!$C$38,W$2&lt;Inputs!$C$34),Inputs!$C$39+Inputs!$C$40,0)</f>
        <v>0</v>
      </c>
      <c r="X34" s="11" t="n">
        <f aca="false">IF(AND(X$2&gt;=Inputs!$C$38,X$2&lt;Inputs!$C$34),Inputs!$C$39+Inputs!$C$40,0)</f>
        <v>0</v>
      </c>
      <c r="Y34" s="11" t="n">
        <f aca="false">IF(AND(Y$2&gt;=Inputs!$C$38,Y$2&lt;Inputs!$C$34),Inputs!$C$39+Inputs!$C$40,0)</f>
        <v>0</v>
      </c>
      <c r="Z34" s="11" t="n">
        <f aca="false">IF(AND(Z$2&gt;=Inputs!$C$38,Z$2&lt;Inputs!$C$34),Inputs!$C$39+Inputs!$C$40,0)</f>
        <v>0</v>
      </c>
      <c r="AA34" s="11" t="n">
        <f aca="false">IF(AND(AA$2&gt;=Inputs!$C$38,AA$2&lt;Inputs!$C$34),Inputs!$C$39+Inputs!$C$40,0)</f>
        <v>0</v>
      </c>
      <c r="AB34" s="11" t="n">
        <f aca="false">IF(AND(AB$2&gt;=Inputs!$C$38,AB$2&lt;Inputs!$C$34),Inputs!$C$39+Inputs!$C$40,0)</f>
        <v>0</v>
      </c>
      <c r="AC34" s="11" t="n">
        <f aca="false">IF(AND(AC$2&gt;=Inputs!$C$38,AC$2&lt;Inputs!$C$34),Inputs!$C$39+Inputs!$C$40,0)</f>
        <v>0</v>
      </c>
      <c r="AD34" s="11" t="n">
        <f aca="false">IF(AND(AD$2&gt;=Inputs!$C$38,AD$2&lt;Inputs!$C$34),Inputs!$C$39+Inputs!$C$40,0)</f>
        <v>0</v>
      </c>
      <c r="AE34" s="11" t="n">
        <f aca="false">IF(AND(AE$2&gt;=Inputs!$C$38,AE$2&lt;Inputs!$C$34),Inputs!$C$39+Inputs!$C$40,0)</f>
        <v>0</v>
      </c>
      <c r="AF34" s="11" t="n">
        <f aca="false">IF(AND(AF$2&gt;=Inputs!$C$38,AF$2&lt;Inputs!$C$34),Inputs!$C$39+Inputs!$C$40,0)</f>
        <v>0</v>
      </c>
      <c r="AG34" s="11" t="n">
        <f aca="false">IF(AND(AG$2&gt;=Inputs!$C$38,AG$2&lt;Inputs!$C$34),Inputs!$C$39+Inputs!$C$40,0)</f>
        <v>0</v>
      </c>
      <c r="AH34" s="11" t="n">
        <f aca="false">IF(AND(AH$2&gt;=Inputs!$C$38,AH$2&lt;Inputs!$C$34),Inputs!$C$39+Inputs!$C$40,0)</f>
        <v>0</v>
      </c>
      <c r="AI34" s="11" t="n">
        <f aca="false">IF(AND(AI$2&gt;=Inputs!$C$38,AI$2&lt;Inputs!$C$34),Inputs!$C$39+Inputs!$C$40,0)</f>
        <v>0</v>
      </c>
      <c r="AJ34" s="11" t="n">
        <f aca="false">IF(AND(AJ$2&gt;=Inputs!$C$38,AJ$2&lt;Inputs!$C$34),Inputs!$C$39+Inputs!$C$40,0)</f>
        <v>0</v>
      </c>
      <c r="AK34" s="11" t="n">
        <f aca="false">IF(AND(AK$2&gt;=Inputs!$C$38,AK$2&lt;Inputs!$C$34),Inputs!$C$39+Inputs!$C$40,0)</f>
        <v>0</v>
      </c>
      <c r="AL34" s="11" t="n">
        <f aca="false">IF(AND(AL$2&gt;=Inputs!$C$38,AL$2&lt;Inputs!$C$34),Inputs!$C$39+Inputs!$C$40,0)</f>
        <v>0</v>
      </c>
    </row>
    <row r="35" customFormat="false" ht="15" hidden="false" customHeight="false" outlineLevel="0" collapsed="false">
      <c r="A35" s="2" t="s">
        <v>217</v>
      </c>
      <c r="B35" s="4"/>
      <c r="C35" s="11" t="n">
        <f aca="false">Inputs!$C$42/12</f>
        <v>2083.33333333333</v>
      </c>
      <c r="D35" s="11" t="n">
        <f aca="false">Inputs!$C$42/12</f>
        <v>2083.33333333333</v>
      </c>
      <c r="E35" s="11" t="n">
        <f aca="false">Inputs!$C$42/12</f>
        <v>2083.33333333333</v>
      </c>
      <c r="F35" s="11" t="n">
        <f aca="false">Inputs!$C$42/12</f>
        <v>2083.33333333333</v>
      </c>
      <c r="G35" s="11" t="n">
        <f aca="false">Inputs!$C$42/12</f>
        <v>2083.33333333333</v>
      </c>
      <c r="H35" s="11" t="n">
        <f aca="false">Inputs!$C$42/12</f>
        <v>2083.33333333333</v>
      </c>
      <c r="I35" s="11" t="n">
        <f aca="false">Inputs!$C$42/12</f>
        <v>2083.33333333333</v>
      </c>
      <c r="J35" s="11" t="n">
        <f aca="false">Inputs!$C$42/12</f>
        <v>2083.33333333333</v>
      </c>
      <c r="K35" s="11" t="n">
        <f aca="false">Inputs!$C$42/12</f>
        <v>2083.33333333333</v>
      </c>
      <c r="L35" s="11" t="n">
        <f aca="false">Inputs!$C$42/12</f>
        <v>2083.33333333333</v>
      </c>
      <c r="M35" s="11" t="n">
        <f aca="false">Inputs!$C$42/12</f>
        <v>2083.33333333333</v>
      </c>
      <c r="N35" s="11" t="n">
        <f aca="false">Inputs!$C$42/12</f>
        <v>2083.33333333333</v>
      </c>
      <c r="O35" s="11" t="n">
        <f aca="false">Inputs!$C$42/12</f>
        <v>2083.33333333333</v>
      </c>
      <c r="P35" s="11" t="n">
        <f aca="false">Inputs!$C$42/12</f>
        <v>2083.33333333333</v>
      </c>
      <c r="Q35" s="11" t="n">
        <f aca="false">Inputs!$C$42/12</f>
        <v>2083.33333333333</v>
      </c>
      <c r="R35" s="11" t="n">
        <f aca="false">Inputs!$C$42/12</f>
        <v>2083.33333333333</v>
      </c>
      <c r="S35" s="11" t="n">
        <f aca="false">Inputs!$C$42/12</f>
        <v>2083.33333333333</v>
      </c>
      <c r="T35" s="11" t="n">
        <f aca="false">Inputs!$C$42/12</f>
        <v>2083.33333333333</v>
      </c>
      <c r="U35" s="11" t="n">
        <f aca="false">Inputs!$C$42/12</f>
        <v>2083.33333333333</v>
      </c>
      <c r="V35" s="11" t="n">
        <f aca="false">Inputs!$C$42/12</f>
        <v>2083.33333333333</v>
      </c>
      <c r="W35" s="11" t="n">
        <f aca="false">Inputs!$C$42/12</f>
        <v>2083.33333333333</v>
      </c>
      <c r="X35" s="11" t="n">
        <f aca="false">Inputs!$C$42/12</f>
        <v>2083.33333333333</v>
      </c>
      <c r="Y35" s="11" t="n">
        <f aca="false">Inputs!$C$42/12</f>
        <v>2083.33333333333</v>
      </c>
      <c r="Z35" s="11" t="n">
        <f aca="false">Inputs!$C$42/12</f>
        <v>2083.33333333333</v>
      </c>
      <c r="AA35" s="11" t="n">
        <f aca="false">Inputs!$C$42/12</f>
        <v>2083.33333333333</v>
      </c>
      <c r="AB35" s="11" t="n">
        <f aca="false">Inputs!$C$42/12</f>
        <v>2083.33333333333</v>
      </c>
      <c r="AC35" s="11" t="n">
        <f aca="false">Inputs!$C$42/12</f>
        <v>2083.33333333333</v>
      </c>
      <c r="AD35" s="11" t="n">
        <f aca="false">Inputs!$C$42/12</f>
        <v>2083.33333333333</v>
      </c>
      <c r="AE35" s="11" t="n">
        <f aca="false">Inputs!$C$42/12</f>
        <v>2083.33333333333</v>
      </c>
      <c r="AF35" s="11" t="n">
        <f aca="false">Inputs!$C$42/12</f>
        <v>2083.33333333333</v>
      </c>
      <c r="AG35" s="11" t="n">
        <f aca="false">Inputs!$C$42/12</f>
        <v>2083.33333333333</v>
      </c>
      <c r="AH35" s="11" t="n">
        <f aca="false">Inputs!$C$42/12</f>
        <v>2083.33333333333</v>
      </c>
      <c r="AI35" s="11" t="n">
        <f aca="false">Inputs!$C$42/12</f>
        <v>2083.33333333333</v>
      </c>
      <c r="AJ35" s="11" t="n">
        <f aca="false">Inputs!$C$42/12</f>
        <v>2083.33333333333</v>
      </c>
      <c r="AK35" s="11" t="n">
        <f aca="false">Inputs!$C$42/12</f>
        <v>2083.33333333333</v>
      </c>
      <c r="AL35" s="11" t="n">
        <f aca="false">Inputs!$C$42/12</f>
        <v>2083.33333333333</v>
      </c>
    </row>
    <row r="36" customFormat="false" ht="15" hidden="false" customHeight="false" outlineLevel="0" collapsed="false">
      <c r="A36" s="2" t="s">
        <v>218</v>
      </c>
      <c r="B36" s="4"/>
      <c r="C36" s="11" t="n">
        <f aca="false">(Inputs!$C$43+Inputs!$C$44)/12</f>
        <v>666.666666666667</v>
      </c>
      <c r="D36" s="11" t="n">
        <f aca="false">(Inputs!$C$43+Inputs!$C$44)/12</f>
        <v>666.666666666667</v>
      </c>
      <c r="E36" s="11" t="n">
        <f aca="false">(Inputs!$C$43+Inputs!$C$44)/12</f>
        <v>666.666666666667</v>
      </c>
      <c r="F36" s="11" t="n">
        <f aca="false">(Inputs!$C$43+Inputs!$C$44)/12</f>
        <v>666.666666666667</v>
      </c>
      <c r="G36" s="11" t="n">
        <f aca="false">(Inputs!$C$43+Inputs!$C$44)/12</f>
        <v>666.666666666667</v>
      </c>
      <c r="H36" s="11" t="n">
        <f aca="false">(Inputs!$C$43+Inputs!$C$44)/12</f>
        <v>666.666666666667</v>
      </c>
      <c r="I36" s="11" t="n">
        <f aca="false">(Inputs!$C$43+Inputs!$C$44)/12</f>
        <v>666.666666666667</v>
      </c>
      <c r="J36" s="11" t="n">
        <f aca="false">(Inputs!$C$43+Inputs!$C$44)/12</f>
        <v>666.666666666667</v>
      </c>
      <c r="K36" s="11" t="n">
        <f aca="false">(Inputs!$C$43+Inputs!$C$44)/12</f>
        <v>666.666666666667</v>
      </c>
      <c r="L36" s="11" t="n">
        <f aca="false">(Inputs!$C$43+Inputs!$C$44)/12</f>
        <v>666.666666666667</v>
      </c>
      <c r="M36" s="11" t="n">
        <f aca="false">(Inputs!$C$43+Inputs!$C$44)/12</f>
        <v>666.666666666667</v>
      </c>
      <c r="N36" s="11" t="n">
        <f aca="false">(Inputs!$C$43+Inputs!$C$44)/12</f>
        <v>666.666666666667</v>
      </c>
      <c r="O36" s="11" t="n">
        <f aca="false">(Inputs!$C$43+Inputs!$C$44)/12</f>
        <v>666.666666666667</v>
      </c>
      <c r="P36" s="11" t="n">
        <f aca="false">(Inputs!$C$43+Inputs!$C$44)/12</f>
        <v>666.666666666667</v>
      </c>
      <c r="Q36" s="11" t="n">
        <f aca="false">(Inputs!$C$43+Inputs!$C$44)/12</f>
        <v>666.666666666667</v>
      </c>
      <c r="R36" s="11" t="n">
        <f aca="false">(Inputs!$C$43+Inputs!$C$44)/12</f>
        <v>666.666666666667</v>
      </c>
      <c r="S36" s="11" t="n">
        <f aca="false">(Inputs!$C$43+Inputs!$C$44)/12</f>
        <v>666.666666666667</v>
      </c>
      <c r="T36" s="11" t="n">
        <f aca="false">(Inputs!$C$43+Inputs!$C$44)/12</f>
        <v>666.666666666667</v>
      </c>
      <c r="U36" s="11" t="n">
        <f aca="false">(Inputs!$C$43+Inputs!$C$44)/12</f>
        <v>666.666666666667</v>
      </c>
      <c r="V36" s="11" t="n">
        <f aca="false">(Inputs!$C$43+Inputs!$C$44)/12</f>
        <v>666.666666666667</v>
      </c>
      <c r="W36" s="11" t="n">
        <f aca="false">(Inputs!$C$43+Inputs!$C$44)/12</f>
        <v>666.666666666667</v>
      </c>
      <c r="X36" s="11" t="n">
        <f aca="false">(Inputs!$C$43+Inputs!$C$44)/12</f>
        <v>666.666666666667</v>
      </c>
      <c r="Y36" s="11" t="n">
        <f aca="false">(Inputs!$C$43+Inputs!$C$44)/12</f>
        <v>666.666666666667</v>
      </c>
      <c r="Z36" s="11" t="n">
        <f aca="false">(Inputs!$C$43+Inputs!$C$44)/12</f>
        <v>666.666666666667</v>
      </c>
      <c r="AA36" s="11" t="n">
        <f aca="false">(Inputs!$C$43+Inputs!$C$44)/12</f>
        <v>666.666666666667</v>
      </c>
      <c r="AB36" s="11" t="n">
        <f aca="false">(Inputs!$C$43+Inputs!$C$44)/12</f>
        <v>666.666666666667</v>
      </c>
      <c r="AC36" s="11" t="n">
        <f aca="false">(Inputs!$C$43+Inputs!$C$44)/12</f>
        <v>666.666666666667</v>
      </c>
      <c r="AD36" s="11" t="n">
        <f aca="false">(Inputs!$C$43+Inputs!$C$44)/12</f>
        <v>666.666666666667</v>
      </c>
      <c r="AE36" s="11" t="n">
        <f aca="false">(Inputs!$C$43+Inputs!$C$44)/12</f>
        <v>666.666666666667</v>
      </c>
      <c r="AF36" s="11" t="n">
        <f aca="false">(Inputs!$C$43+Inputs!$C$44)/12</f>
        <v>666.666666666667</v>
      </c>
      <c r="AG36" s="11" t="n">
        <f aca="false">(Inputs!$C$43+Inputs!$C$44)/12</f>
        <v>666.666666666667</v>
      </c>
      <c r="AH36" s="11" t="n">
        <f aca="false">(Inputs!$C$43+Inputs!$C$44)/12</f>
        <v>666.666666666667</v>
      </c>
      <c r="AI36" s="11" t="n">
        <f aca="false">(Inputs!$C$43+Inputs!$C$44)/12</f>
        <v>666.666666666667</v>
      </c>
      <c r="AJ36" s="11" t="n">
        <f aca="false">(Inputs!$C$43+Inputs!$C$44)/12</f>
        <v>666.666666666667</v>
      </c>
      <c r="AK36" s="11" t="n">
        <f aca="false">(Inputs!$C$43+Inputs!$C$44)/12</f>
        <v>666.666666666667</v>
      </c>
      <c r="AL36" s="11" t="n">
        <f aca="false">(Inputs!$C$43+Inputs!$C$44)/12</f>
        <v>666.666666666667</v>
      </c>
    </row>
    <row r="37" customFormat="false" ht="15" hidden="false" customHeight="false" outlineLevel="0" collapsed="false">
      <c r="A37" s="2" t="s">
        <v>219</v>
      </c>
      <c r="B37" s="4"/>
      <c r="C37" s="11" t="n">
        <f aca="false">Inputs!$C$45</f>
        <v>1000</v>
      </c>
      <c r="D37" s="11" t="n">
        <f aca="false">Inputs!$C$45</f>
        <v>1000</v>
      </c>
      <c r="E37" s="11" t="n">
        <f aca="false">Inputs!$C$45</f>
        <v>1000</v>
      </c>
      <c r="F37" s="11" t="n">
        <f aca="false">Inputs!$C$45</f>
        <v>1000</v>
      </c>
      <c r="G37" s="11" t="n">
        <f aca="false">Inputs!$C$45</f>
        <v>1000</v>
      </c>
      <c r="H37" s="11" t="n">
        <f aca="false">Inputs!$C$45</f>
        <v>1000</v>
      </c>
      <c r="I37" s="11" t="n">
        <f aca="false">Inputs!$C$45</f>
        <v>1000</v>
      </c>
      <c r="J37" s="11" t="n">
        <f aca="false">Inputs!$C$45</f>
        <v>1000</v>
      </c>
      <c r="K37" s="11" t="n">
        <f aca="false">Inputs!$C$45</f>
        <v>1000</v>
      </c>
      <c r="L37" s="11" t="n">
        <f aca="false">Inputs!$C$45</f>
        <v>1000</v>
      </c>
      <c r="M37" s="11" t="n">
        <f aca="false">Inputs!$C$45</f>
        <v>1000</v>
      </c>
      <c r="N37" s="11" t="n">
        <f aca="false">Inputs!$C$45</f>
        <v>1000</v>
      </c>
      <c r="O37" s="11" t="n">
        <f aca="false">Inputs!$C$45</f>
        <v>1000</v>
      </c>
      <c r="P37" s="11" t="n">
        <f aca="false">Inputs!$C$45</f>
        <v>1000</v>
      </c>
      <c r="Q37" s="11" t="n">
        <f aca="false">Inputs!$C$45</f>
        <v>1000</v>
      </c>
      <c r="R37" s="11" t="n">
        <f aca="false">Inputs!$C$45</f>
        <v>1000</v>
      </c>
      <c r="S37" s="11" t="n">
        <f aca="false">Inputs!$C$45</f>
        <v>1000</v>
      </c>
      <c r="T37" s="11" t="n">
        <f aca="false">Inputs!$C$45</f>
        <v>1000</v>
      </c>
      <c r="U37" s="11" t="n">
        <f aca="false">Inputs!$C$45</f>
        <v>1000</v>
      </c>
      <c r="V37" s="11" t="n">
        <f aca="false">Inputs!$C$45</f>
        <v>1000</v>
      </c>
      <c r="W37" s="11" t="n">
        <f aca="false">Inputs!$C$45</f>
        <v>1000</v>
      </c>
      <c r="X37" s="11" t="n">
        <f aca="false">Inputs!$C$45</f>
        <v>1000</v>
      </c>
      <c r="Y37" s="11" t="n">
        <f aca="false">Inputs!$C$45</f>
        <v>1000</v>
      </c>
      <c r="Z37" s="11" t="n">
        <f aca="false">Inputs!$C$45</f>
        <v>1000</v>
      </c>
      <c r="AA37" s="11" t="n">
        <f aca="false">Inputs!$C$45</f>
        <v>1000</v>
      </c>
      <c r="AB37" s="11" t="n">
        <f aca="false">Inputs!$C$45</f>
        <v>1000</v>
      </c>
      <c r="AC37" s="11" t="n">
        <f aca="false">Inputs!$C$45</f>
        <v>1000</v>
      </c>
      <c r="AD37" s="11" t="n">
        <f aca="false">Inputs!$C$45</f>
        <v>1000</v>
      </c>
      <c r="AE37" s="11" t="n">
        <f aca="false">Inputs!$C$45</f>
        <v>1000</v>
      </c>
      <c r="AF37" s="11" t="n">
        <f aca="false">Inputs!$C$45</f>
        <v>1000</v>
      </c>
      <c r="AG37" s="11" t="n">
        <f aca="false">Inputs!$C$45</f>
        <v>1000</v>
      </c>
      <c r="AH37" s="11" t="n">
        <f aca="false">Inputs!$C$45</f>
        <v>1000</v>
      </c>
      <c r="AI37" s="11" t="n">
        <f aca="false">Inputs!$C$45</f>
        <v>1000</v>
      </c>
      <c r="AJ37" s="11" t="n">
        <f aca="false">Inputs!$C$45</f>
        <v>1000</v>
      </c>
      <c r="AK37" s="11" t="n">
        <f aca="false">Inputs!$C$45</f>
        <v>1000</v>
      </c>
      <c r="AL37" s="11" t="n">
        <f aca="false">Inputs!$C$45</f>
        <v>1000</v>
      </c>
    </row>
    <row r="38" customFormat="false" ht="15" hidden="false" customHeight="false" outlineLevel="0" collapsed="false">
      <c r="A38" s="2" t="s">
        <v>220</v>
      </c>
      <c r="B38" s="4"/>
      <c r="C38" s="11" t="n">
        <f aca="false">Inputs!$C$46+IF(C$2&lt;=3,Inputs!$C$47/3,0)</f>
        <v>5000</v>
      </c>
      <c r="D38" s="11" t="n">
        <f aca="false">Inputs!$C$46+IF(D$2&lt;=3,Inputs!$C$47/3,0)</f>
        <v>5000</v>
      </c>
      <c r="E38" s="11" t="n">
        <f aca="false">Inputs!$C$46+IF(E$2&lt;=3,Inputs!$C$47/3,0)</f>
        <v>5000</v>
      </c>
      <c r="F38" s="11" t="n">
        <f aca="false">Inputs!$C$46+IF(F$2&lt;=3,Inputs!$C$47/3,0)</f>
        <v>1000</v>
      </c>
      <c r="G38" s="11" t="n">
        <f aca="false">Inputs!$C$46+IF(G$2&lt;=3,Inputs!$C$47/3,0)</f>
        <v>1000</v>
      </c>
      <c r="H38" s="11" t="n">
        <f aca="false">Inputs!$C$46+IF(H$2&lt;=3,Inputs!$C$47/3,0)</f>
        <v>1000</v>
      </c>
      <c r="I38" s="11" t="n">
        <f aca="false">Inputs!$C$46+IF(I$2&lt;=3,Inputs!$C$47/3,0)</f>
        <v>1000</v>
      </c>
      <c r="J38" s="11" t="n">
        <f aca="false">Inputs!$C$46+IF(J$2&lt;=3,Inputs!$C$47/3,0)</f>
        <v>1000</v>
      </c>
      <c r="K38" s="11" t="n">
        <f aca="false">Inputs!$C$46+IF(K$2&lt;=3,Inputs!$C$47/3,0)</f>
        <v>1000</v>
      </c>
      <c r="L38" s="11" t="n">
        <f aca="false">Inputs!$C$46+IF(L$2&lt;=3,Inputs!$C$47/3,0)</f>
        <v>1000</v>
      </c>
      <c r="M38" s="11" t="n">
        <f aca="false">Inputs!$C$46+IF(M$2&lt;=3,Inputs!$C$47/3,0)</f>
        <v>1000</v>
      </c>
      <c r="N38" s="11" t="n">
        <f aca="false">Inputs!$C$46+IF(N$2&lt;=3,Inputs!$C$47/3,0)</f>
        <v>1000</v>
      </c>
      <c r="O38" s="11" t="n">
        <f aca="false">Inputs!$C$46+IF(O$2&lt;=3,Inputs!$C$47/3,0)</f>
        <v>1000</v>
      </c>
      <c r="P38" s="11" t="n">
        <f aca="false">Inputs!$C$46+IF(P$2&lt;=3,Inputs!$C$47/3,0)</f>
        <v>1000</v>
      </c>
      <c r="Q38" s="11" t="n">
        <f aca="false">Inputs!$C$46+IF(Q$2&lt;=3,Inputs!$C$47/3,0)</f>
        <v>1000</v>
      </c>
      <c r="R38" s="11" t="n">
        <f aca="false">Inputs!$C$46+IF(R$2&lt;=3,Inputs!$C$47/3,0)</f>
        <v>1000</v>
      </c>
      <c r="S38" s="11" t="n">
        <f aca="false">Inputs!$C$46+IF(S$2&lt;=3,Inputs!$C$47/3,0)</f>
        <v>1000</v>
      </c>
      <c r="T38" s="11" t="n">
        <f aca="false">Inputs!$C$46+IF(T$2&lt;=3,Inputs!$C$47/3,0)</f>
        <v>1000</v>
      </c>
      <c r="U38" s="11" t="n">
        <f aca="false">Inputs!$C$46+IF(U$2&lt;=3,Inputs!$C$47/3,0)</f>
        <v>1000</v>
      </c>
      <c r="V38" s="11" t="n">
        <f aca="false">Inputs!$C$46+IF(V$2&lt;=3,Inputs!$C$47/3,0)</f>
        <v>1000</v>
      </c>
      <c r="W38" s="11" t="n">
        <f aca="false">Inputs!$C$46+IF(W$2&lt;=3,Inputs!$C$47/3,0)</f>
        <v>1000</v>
      </c>
      <c r="X38" s="11" t="n">
        <f aca="false">Inputs!$C$46+IF(X$2&lt;=3,Inputs!$C$47/3,0)</f>
        <v>1000</v>
      </c>
      <c r="Y38" s="11" t="n">
        <f aca="false">Inputs!$C$46+IF(Y$2&lt;=3,Inputs!$C$47/3,0)</f>
        <v>1000</v>
      </c>
      <c r="Z38" s="11" t="n">
        <f aca="false">Inputs!$C$46+IF(Z$2&lt;=3,Inputs!$C$47/3,0)</f>
        <v>1000</v>
      </c>
      <c r="AA38" s="11" t="n">
        <f aca="false">Inputs!$C$46+IF(AA$2&lt;=3,Inputs!$C$47/3,0)</f>
        <v>1000</v>
      </c>
      <c r="AB38" s="11" t="n">
        <f aca="false">Inputs!$C$46+IF(AB$2&lt;=3,Inputs!$C$47/3,0)</f>
        <v>1000</v>
      </c>
      <c r="AC38" s="11" t="n">
        <f aca="false">Inputs!$C$46+IF(AC$2&lt;=3,Inputs!$C$47/3,0)</f>
        <v>1000</v>
      </c>
      <c r="AD38" s="11" t="n">
        <f aca="false">Inputs!$C$46+IF(AD$2&lt;=3,Inputs!$C$47/3,0)</f>
        <v>1000</v>
      </c>
      <c r="AE38" s="11" t="n">
        <f aca="false">Inputs!$C$46+IF(AE$2&lt;=3,Inputs!$C$47/3,0)</f>
        <v>1000</v>
      </c>
      <c r="AF38" s="11" t="n">
        <f aca="false">Inputs!$C$46+IF(AF$2&lt;=3,Inputs!$C$47/3,0)</f>
        <v>1000</v>
      </c>
      <c r="AG38" s="11" t="n">
        <f aca="false">Inputs!$C$46+IF(AG$2&lt;=3,Inputs!$C$47/3,0)</f>
        <v>1000</v>
      </c>
      <c r="AH38" s="11" t="n">
        <f aca="false">Inputs!$C$46+IF(AH$2&lt;=3,Inputs!$C$47/3,0)</f>
        <v>1000</v>
      </c>
      <c r="AI38" s="11" t="n">
        <f aca="false">Inputs!$C$46+IF(AI$2&lt;=3,Inputs!$C$47/3,0)</f>
        <v>1000</v>
      </c>
      <c r="AJ38" s="11" t="n">
        <f aca="false">Inputs!$C$46+IF(AJ$2&lt;=3,Inputs!$C$47/3,0)</f>
        <v>1000</v>
      </c>
      <c r="AK38" s="11" t="n">
        <f aca="false">Inputs!$C$46+IF(AK$2&lt;=3,Inputs!$C$47/3,0)</f>
        <v>1000</v>
      </c>
      <c r="AL38" s="11" t="n">
        <f aca="false">Inputs!$C$46+IF(AL$2&lt;=3,Inputs!$C$47/3,0)</f>
        <v>1000</v>
      </c>
    </row>
    <row r="39" customFormat="false" ht="15" hidden="false" customHeight="false" outlineLevel="0" collapsed="false">
      <c r="A39" s="2" t="s">
        <v>221</v>
      </c>
      <c r="B39" s="4"/>
      <c r="C39" s="11" t="n">
        <f aca="false">CHOOSE(C$3,Inputs!$C$48,Inputs!$C$49,Inputs!$C$50)/12</f>
        <v>2716.58333333333</v>
      </c>
      <c r="D39" s="11" t="n">
        <f aca="false">CHOOSE(D$3,Inputs!$C$48,Inputs!$C$49,Inputs!$C$50)/12</f>
        <v>2716.58333333333</v>
      </c>
      <c r="E39" s="11" t="n">
        <f aca="false">CHOOSE(E$3,Inputs!$C$48,Inputs!$C$49,Inputs!$C$50)/12</f>
        <v>2716.58333333333</v>
      </c>
      <c r="F39" s="11" t="n">
        <f aca="false">CHOOSE(F$3,Inputs!$C$48,Inputs!$C$49,Inputs!$C$50)/12</f>
        <v>2716.58333333333</v>
      </c>
      <c r="G39" s="11" t="n">
        <f aca="false">CHOOSE(G$3,Inputs!$C$48,Inputs!$C$49,Inputs!$C$50)/12</f>
        <v>2716.58333333333</v>
      </c>
      <c r="H39" s="11" t="n">
        <f aca="false">CHOOSE(H$3,Inputs!$C$48,Inputs!$C$49,Inputs!$C$50)/12</f>
        <v>2716.58333333333</v>
      </c>
      <c r="I39" s="11" t="n">
        <f aca="false">CHOOSE(I$3,Inputs!$C$48,Inputs!$C$49,Inputs!$C$50)/12</f>
        <v>2716.58333333333</v>
      </c>
      <c r="J39" s="11" t="n">
        <f aca="false">CHOOSE(J$3,Inputs!$C$48,Inputs!$C$49,Inputs!$C$50)/12</f>
        <v>2716.58333333333</v>
      </c>
      <c r="K39" s="11" t="n">
        <f aca="false">CHOOSE(K$3,Inputs!$C$48,Inputs!$C$49,Inputs!$C$50)/12</f>
        <v>2716.58333333333</v>
      </c>
      <c r="L39" s="11" t="n">
        <f aca="false">CHOOSE(L$3,Inputs!$C$48,Inputs!$C$49,Inputs!$C$50)/12</f>
        <v>2716.58333333333</v>
      </c>
      <c r="M39" s="11" t="n">
        <f aca="false">CHOOSE(M$3,Inputs!$C$48,Inputs!$C$49,Inputs!$C$50)/12</f>
        <v>2716.58333333333</v>
      </c>
      <c r="N39" s="11" t="n">
        <f aca="false">CHOOSE(N$3,Inputs!$C$48,Inputs!$C$49,Inputs!$C$50)/12</f>
        <v>2716.58333333333</v>
      </c>
      <c r="O39" s="11" t="n">
        <f aca="false">CHOOSE(O$3,Inputs!$C$48,Inputs!$C$49,Inputs!$C$50)/12</f>
        <v>3553.75</v>
      </c>
      <c r="P39" s="11" t="n">
        <f aca="false">CHOOSE(P$3,Inputs!$C$48,Inputs!$C$49,Inputs!$C$50)/12</f>
        <v>3553.75</v>
      </c>
      <c r="Q39" s="11" t="n">
        <f aca="false">CHOOSE(Q$3,Inputs!$C$48,Inputs!$C$49,Inputs!$C$50)/12</f>
        <v>3553.75</v>
      </c>
      <c r="R39" s="11" t="n">
        <f aca="false">CHOOSE(R$3,Inputs!$C$48,Inputs!$C$49,Inputs!$C$50)/12</f>
        <v>3553.75</v>
      </c>
      <c r="S39" s="11" t="n">
        <f aca="false">CHOOSE(S$3,Inputs!$C$48,Inputs!$C$49,Inputs!$C$50)/12</f>
        <v>3553.75</v>
      </c>
      <c r="T39" s="11" t="n">
        <f aca="false">CHOOSE(T$3,Inputs!$C$48,Inputs!$C$49,Inputs!$C$50)/12</f>
        <v>3553.75</v>
      </c>
      <c r="U39" s="11" t="n">
        <f aca="false">CHOOSE(U$3,Inputs!$C$48,Inputs!$C$49,Inputs!$C$50)/12</f>
        <v>3553.75</v>
      </c>
      <c r="V39" s="11" t="n">
        <f aca="false">CHOOSE(V$3,Inputs!$C$48,Inputs!$C$49,Inputs!$C$50)/12</f>
        <v>3553.75</v>
      </c>
      <c r="W39" s="11" t="n">
        <f aca="false">CHOOSE(W$3,Inputs!$C$48,Inputs!$C$49,Inputs!$C$50)/12</f>
        <v>3553.75</v>
      </c>
      <c r="X39" s="11" t="n">
        <f aca="false">CHOOSE(X$3,Inputs!$C$48,Inputs!$C$49,Inputs!$C$50)/12</f>
        <v>3553.75</v>
      </c>
      <c r="Y39" s="11" t="n">
        <f aca="false">CHOOSE(Y$3,Inputs!$C$48,Inputs!$C$49,Inputs!$C$50)/12</f>
        <v>3553.75</v>
      </c>
      <c r="Z39" s="11" t="n">
        <f aca="false">CHOOSE(Z$3,Inputs!$C$48,Inputs!$C$49,Inputs!$C$50)/12</f>
        <v>3553.75</v>
      </c>
      <c r="AA39" s="11" t="n">
        <f aca="false">CHOOSE(AA$3,Inputs!$C$48,Inputs!$C$49,Inputs!$C$50)/12</f>
        <v>4815.41666666667</v>
      </c>
      <c r="AB39" s="11" t="n">
        <f aca="false">CHOOSE(AB$3,Inputs!$C$48,Inputs!$C$49,Inputs!$C$50)/12</f>
        <v>4815.41666666667</v>
      </c>
      <c r="AC39" s="11" t="n">
        <f aca="false">CHOOSE(AC$3,Inputs!$C$48,Inputs!$C$49,Inputs!$C$50)/12</f>
        <v>4815.41666666667</v>
      </c>
      <c r="AD39" s="11" t="n">
        <f aca="false">CHOOSE(AD$3,Inputs!$C$48,Inputs!$C$49,Inputs!$C$50)/12</f>
        <v>4815.41666666667</v>
      </c>
      <c r="AE39" s="11" t="n">
        <f aca="false">CHOOSE(AE$3,Inputs!$C$48,Inputs!$C$49,Inputs!$C$50)/12</f>
        <v>4815.41666666667</v>
      </c>
      <c r="AF39" s="11" t="n">
        <f aca="false">CHOOSE(AF$3,Inputs!$C$48,Inputs!$C$49,Inputs!$C$50)/12</f>
        <v>4815.41666666667</v>
      </c>
      <c r="AG39" s="11" t="n">
        <f aca="false">CHOOSE(AG$3,Inputs!$C$48,Inputs!$C$49,Inputs!$C$50)/12</f>
        <v>4815.41666666667</v>
      </c>
      <c r="AH39" s="11" t="n">
        <f aca="false">CHOOSE(AH$3,Inputs!$C$48,Inputs!$C$49,Inputs!$C$50)/12</f>
        <v>4815.41666666667</v>
      </c>
      <c r="AI39" s="11" t="n">
        <f aca="false">CHOOSE(AI$3,Inputs!$C$48,Inputs!$C$49,Inputs!$C$50)/12</f>
        <v>4815.41666666667</v>
      </c>
      <c r="AJ39" s="11" t="n">
        <f aca="false">CHOOSE(AJ$3,Inputs!$C$48,Inputs!$C$49,Inputs!$C$50)/12</f>
        <v>4815.41666666667</v>
      </c>
      <c r="AK39" s="11" t="n">
        <f aca="false">CHOOSE(AK$3,Inputs!$C$48,Inputs!$C$49,Inputs!$C$50)/12</f>
        <v>4815.41666666667</v>
      </c>
      <c r="AL39" s="11" t="n">
        <f aca="false">CHOOSE(AL$3,Inputs!$C$48,Inputs!$C$49,Inputs!$C$50)/12</f>
        <v>4815.41666666667</v>
      </c>
    </row>
    <row r="40" customFormat="false" ht="15" hidden="false" customHeight="false" outlineLevel="0" collapsed="false">
      <c r="A40" s="3" t="s">
        <v>222</v>
      </c>
      <c r="B40" s="4"/>
      <c r="C40" s="11" t="n">
        <f aca="false">SUM(C31:C39)</f>
        <v>17746.1666666667</v>
      </c>
      <c r="D40" s="11" t="n">
        <f aca="false">SUM(D31:D39)</f>
        <v>17746.1666666667</v>
      </c>
      <c r="E40" s="11" t="n">
        <f aca="false">SUM(E31:E39)</f>
        <v>17746.1666666667</v>
      </c>
      <c r="F40" s="11" t="n">
        <f aca="false">SUM(F31:F39)</f>
        <v>13746.1666666667</v>
      </c>
      <c r="G40" s="11" t="n">
        <f aca="false">SUM(G31:G39)</f>
        <v>13746.1666666667</v>
      </c>
      <c r="H40" s="11" t="n">
        <f aca="false">SUM(H31:H39)</f>
        <v>13746.1666666667</v>
      </c>
      <c r="I40" s="11" t="n">
        <f aca="false">SUM(I31:I39)</f>
        <v>13746.1666666667</v>
      </c>
      <c r="J40" s="11" t="n">
        <f aca="false">SUM(J31:J39)</f>
        <v>13746.1666666667</v>
      </c>
      <c r="K40" s="11" t="n">
        <f aca="false">SUM(K31:K39)</f>
        <v>13746.1666666667</v>
      </c>
      <c r="L40" s="11" t="n">
        <f aca="false">SUM(L31:L39)</f>
        <v>20621.1666666667</v>
      </c>
      <c r="M40" s="11" t="n">
        <f aca="false">SUM(M31:M39)</f>
        <v>20621.1666666667</v>
      </c>
      <c r="N40" s="11" t="n">
        <f aca="false">SUM(N31:N39)</f>
        <v>20621.1666666667</v>
      </c>
      <c r="O40" s="11" t="n">
        <f aca="false">SUM(O31:O39)</f>
        <v>24149.5833333333</v>
      </c>
      <c r="P40" s="11" t="n">
        <f aca="false">SUM(P31:P39)</f>
        <v>24149.5833333333</v>
      </c>
      <c r="Q40" s="11" t="n">
        <f aca="false">SUM(Q31:Q39)</f>
        <v>24149.5833333333</v>
      </c>
      <c r="R40" s="11" t="n">
        <f aca="false">SUM(R31:R39)</f>
        <v>24149.5833333333</v>
      </c>
      <c r="S40" s="11" t="n">
        <f aca="false">SUM(S31:S39)</f>
        <v>24149.5833333333</v>
      </c>
      <c r="T40" s="11" t="n">
        <f aca="false">SUM(T31:T39)</f>
        <v>24149.5833333333</v>
      </c>
      <c r="U40" s="11" t="n">
        <f aca="false">SUM(U31:U39)</f>
        <v>24149.5833333333</v>
      </c>
      <c r="V40" s="11" t="n">
        <f aca="false">SUM(V31:V39)</f>
        <v>24149.5833333333</v>
      </c>
      <c r="W40" s="11" t="n">
        <f aca="false">SUM(W31:W39)</f>
        <v>24149.5833333333</v>
      </c>
      <c r="X40" s="11" t="n">
        <f aca="false">SUM(X31:X39)</f>
        <v>24149.5833333333</v>
      </c>
      <c r="Y40" s="11" t="n">
        <f aca="false">SUM(Y31:Y39)</f>
        <v>24149.5833333333</v>
      </c>
      <c r="Z40" s="11" t="n">
        <f aca="false">SUM(Z31:Z39)</f>
        <v>32274.5833333333</v>
      </c>
      <c r="AA40" s="11" t="n">
        <f aca="false">SUM(AA31:AA39)</f>
        <v>36227.5</v>
      </c>
      <c r="AB40" s="11" t="n">
        <f aca="false">SUM(AB31:AB39)</f>
        <v>36227.5</v>
      </c>
      <c r="AC40" s="11" t="n">
        <f aca="false">SUM(AC31:AC39)</f>
        <v>36227.5</v>
      </c>
      <c r="AD40" s="11" t="n">
        <f aca="false">SUM(AD31:AD39)</f>
        <v>36227.5</v>
      </c>
      <c r="AE40" s="11" t="n">
        <f aca="false">SUM(AE31:AE39)</f>
        <v>36227.5</v>
      </c>
      <c r="AF40" s="11" t="n">
        <f aca="false">SUM(AF31:AF39)</f>
        <v>36227.5</v>
      </c>
      <c r="AG40" s="11" t="n">
        <f aca="false">SUM(AG31:AG39)</f>
        <v>36227.5</v>
      </c>
      <c r="AH40" s="11" t="n">
        <f aca="false">SUM(AH31:AH39)</f>
        <v>36227.5</v>
      </c>
      <c r="AI40" s="11" t="n">
        <f aca="false">SUM(AI31:AI39)</f>
        <v>36227.5</v>
      </c>
      <c r="AJ40" s="11" t="n">
        <f aca="false">SUM(AJ31:AJ39)</f>
        <v>36227.5</v>
      </c>
      <c r="AK40" s="11" t="n">
        <f aca="false">SUM(AK31:AK39)</f>
        <v>36227.5</v>
      </c>
      <c r="AL40" s="11" t="n">
        <f aca="false">SUM(AL31:AL39)</f>
        <v>36227.5</v>
      </c>
    </row>
    <row r="41" customFormat="false" ht="15" hidden="false" customHeight="false" outlineLevel="0" collapsed="false">
      <c r="A41" s="3" t="s">
        <v>223</v>
      </c>
      <c r="B41" s="4"/>
      <c r="C41" s="11" t="n">
        <f aca="false">C29-C40</f>
        <v>-17746.1666666667</v>
      </c>
      <c r="D41" s="11" t="n">
        <f aca="false">D29-D40</f>
        <v>-17746.1666666667</v>
      </c>
      <c r="E41" s="11" t="n">
        <f aca="false">E29-E40</f>
        <v>-4506.16666666667</v>
      </c>
      <c r="F41" s="11" t="n">
        <f aca="false">F29-F40</f>
        <v>-11086.1666666667</v>
      </c>
      <c r="G41" s="11" t="n">
        <f aca="false">G29-G40</f>
        <v>1664.88333333334</v>
      </c>
      <c r="H41" s="11" t="n">
        <f aca="false">H29-H40</f>
        <v>-8898.19166666667</v>
      </c>
      <c r="I41" s="11" t="n">
        <f aca="false">I29-I40</f>
        <v>-8898.19166666667</v>
      </c>
      <c r="J41" s="11" t="n">
        <f aca="false">J29-J40</f>
        <v>4297.83333333333</v>
      </c>
      <c r="K41" s="11" t="n">
        <f aca="false">K29-K40</f>
        <v>-6710.21666666667</v>
      </c>
      <c r="L41" s="11" t="n">
        <f aca="false">L29-L40</f>
        <v>-13585.2166666667</v>
      </c>
      <c r="M41" s="11" t="n">
        <f aca="false">M29-M40</f>
        <v>-389.191666666669</v>
      </c>
      <c r="N41" s="11" t="n">
        <f aca="false">N29-N40</f>
        <v>-11397.2416666667</v>
      </c>
      <c r="O41" s="11" t="n">
        <f aca="false">O29-O40</f>
        <v>-9464.98708333334</v>
      </c>
      <c r="P41" s="11" t="n">
        <f aca="false">P29-P40</f>
        <v>-8997.76333333334</v>
      </c>
      <c r="Q41" s="11" t="n">
        <f aca="false">Q29-Q40</f>
        <v>3753.28666666666</v>
      </c>
      <c r="R41" s="11" t="n">
        <f aca="false">R29-R40</f>
        <v>-7167.61333333334</v>
      </c>
      <c r="S41" s="11" t="n">
        <f aca="false">S29-S40</f>
        <v>5583.43666666666</v>
      </c>
      <c r="T41" s="11" t="n">
        <f aca="false">T29-T40</f>
        <v>-4870.23958333334</v>
      </c>
      <c r="U41" s="11" t="n">
        <f aca="false">U29-U40</f>
        <v>7880.81041666666</v>
      </c>
      <c r="V41" s="11" t="n">
        <f aca="false">V29-V40</f>
        <v>-2572.86583333334</v>
      </c>
      <c r="W41" s="11" t="n">
        <f aca="false">W29-W40</f>
        <v>10178.1841666667</v>
      </c>
      <c r="X41" s="11" t="n">
        <f aca="false">X29-X40</f>
        <v>12475.5579166667</v>
      </c>
      <c r="Y41" s="11" t="n">
        <f aca="false">Y29-Y40</f>
        <v>1554.65791666666</v>
      </c>
      <c r="Z41" s="11" t="n">
        <f aca="false">Z29-Z40</f>
        <v>6647.93166666666</v>
      </c>
      <c r="AA41" s="11" t="n">
        <f aca="false">AA29-AA40</f>
        <v>7061.8819375</v>
      </c>
      <c r="AB41" s="11" t="n">
        <f aca="false">AB29-AB40</f>
        <v>-3767.5105625</v>
      </c>
      <c r="AC41" s="11" t="n">
        <f aca="false">AC29-AC40</f>
        <v>9474.124375</v>
      </c>
      <c r="AD41" s="11" t="n">
        <f aca="false">AD29-AD40</f>
        <v>11886.3668125</v>
      </c>
      <c r="AE41" s="11" t="n">
        <f aca="false">AE29-AE40</f>
        <v>1056.9743125</v>
      </c>
      <c r="AF41" s="11" t="n">
        <f aca="false">AF29-AF40</f>
        <v>14298.60925</v>
      </c>
      <c r="AG41" s="11" t="n">
        <f aca="false">AG29-AG40</f>
        <v>16710.8516875</v>
      </c>
      <c r="AH41" s="11" t="n">
        <f aca="false">AH29-AH40</f>
        <v>18632.5091875</v>
      </c>
      <c r="AI41" s="11" t="n">
        <f aca="false">AI29-AI40</f>
        <v>8293.70162499999</v>
      </c>
      <c r="AJ41" s="11" t="n">
        <f aca="false">AJ29-AJ40</f>
        <v>21535.3365625</v>
      </c>
      <c r="AK41" s="11" t="n">
        <f aca="false">AK29-AK40</f>
        <v>23947.579</v>
      </c>
      <c r="AL41" s="11" t="n">
        <f aca="false">AL29-AL40</f>
        <v>25869.2365</v>
      </c>
    </row>
    <row r="42" customFormat="false" ht="15" hidden="false" customHeight="false" outlineLevel="0" collapsed="false">
      <c r="A42" s="2" t="s">
        <v>224</v>
      </c>
      <c r="B42" s="4"/>
      <c r="C42" s="11" t="n">
        <f aca="false">SUM(INDEX($C$41:$AL$41,MAX(1,C$2-11)):C41)</f>
        <v>-17746.1666666667</v>
      </c>
      <c r="D42" s="11" t="n">
        <f aca="false">SUM(INDEX($C$41:$AL$41,MAX(1,D$2-11)):D41)</f>
        <v>-35492.3333333333</v>
      </c>
      <c r="E42" s="11" t="n">
        <f aca="false">SUM(INDEX($C$41:$AL$41,MAX(1,E$2-11)):E41)</f>
        <v>-39998.5</v>
      </c>
      <c r="F42" s="11" t="n">
        <f aca="false">SUM(INDEX($C$41:$AL$41,MAX(1,F$2-11)):F41)</f>
        <v>-51084.6666666667</v>
      </c>
      <c r="G42" s="11" t="n">
        <f aca="false">SUM(INDEX($C$41:$AL$41,MAX(1,G$2-11)):G41)</f>
        <v>-49419.7833333333</v>
      </c>
      <c r="H42" s="11" t="n">
        <f aca="false">SUM(INDEX($C$41:$AL$41,MAX(1,H$2-11)):H41)</f>
        <v>-58317.975</v>
      </c>
      <c r="I42" s="11" t="n">
        <f aca="false">SUM(INDEX($C$41:$AL$41,MAX(1,I$2-11)):I41)</f>
        <v>-67216.1666666667</v>
      </c>
      <c r="J42" s="11" t="n">
        <f aca="false">SUM(INDEX($C$41:$AL$41,MAX(1,J$2-11)):J41)</f>
        <v>-62918.3333333333</v>
      </c>
      <c r="K42" s="11" t="n">
        <f aca="false">SUM(INDEX($C$41:$AL$41,MAX(1,K$2-11)):K41)</f>
        <v>-69628.55</v>
      </c>
      <c r="L42" s="11" t="n">
        <f aca="false">SUM(INDEX($C$41:$AL$41,MAX(1,L$2-11)):L41)</f>
        <v>-83213.7666666667</v>
      </c>
      <c r="M42" s="11" t="n">
        <f aca="false">SUM(INDEX($C$41:$AL$41,MAX(1,M$2-11)):M41)</f>
        <v>-83602.9583333333</v>
      </c>
      <c r="N42" s="11" t="n">
        <f aca="false">SUM(INDEX($C$41:$AL$41,MAX(1,N$2-11)):N41)</f>
        <v>-95000.2</v>
      </c>
      <c r="O42" s="11" t="n">
        <f aca="false">SUM(INDEX($C$41:$AL$41,MAX(1,O$2-11)):O41)</f>
        <v>-86719.0204166667</v>
      </c>
      <c r="P42" s="11" t="n">
        <f aca="false">SUM(INDEX($C$41:$AL$41,MAX(1,P$2-11)):P41)</f>
        <v>-77970.6170833334</v>
      </c>
      <c r="Q42" s="11" t="n">
        <f aca="false">SUM(INDEX($C$41:$AL$41,MAX(1,Q$2-11)):Q41)</f>
        <v>-69711.16375</v>
      </c>
      <c r="R42" s="11" t="n">
        <f aca="false">SUM(INDEX($C$41:$AL$41,MAX(1,R$2-11)):R41)</f>
        <v>-65792.6104166667</v>
      </c>
      <c r="S42" s="11" t="n">
        <f aca="false">SUM(INDEX($C$41:$AL$41,MAX(1,S$2-11)):S41)</f>
        <v>-61874.0570833334</v>
      </c>
      <c r="T42" s="11" t="n">
        <f aca="false">SUM(INDEX($C$41:$AL$41,MAX(1,T$2-11)):T41)</f>
        <v>-57846.105</v>
      </c>
      <c r="U42" s="11" t="n">
        <f aca="false">SUM(INDEX($C$41:$AL$41,MAX(1,U$2-11)):U41)</f>
        <v>-41067.1029166667</v>
      </c>
      <c r="V42" s="11" t="n">
        <f aca="false">SUM(INDEX($C$41:$AL$41,MAX(1,V$2-11)):V41)</f>
        <v>-47937.8020833334</v>
      </c>
      <c r="W42" s="11" t="n">
        <f aca="false">SUM(INDEX($C$41:$AL$41,MAX(1,W$2-11)):W41)</f>
        <v>-31049.40125</v>
      </c>
      <c r="X42" s="11" t="n">
        <f aca="false">SUM(INDEX($C$41:$AL$41,MAX(1,X$2-11)):X41)</f>
        <v>-4988.6266666667</v>
      </c>
      <c r="Y42" s="11" t="n">
        <f aca="false">SUM(INDEX($C$41:$AL$41,MAX(1,Y$2-11)):Y41)</f>
        <v>-3044.77708333337</v>
      </c>
      <c r="Z42" s="11" t="n">
        <f aca="false">SUM(INDEX($C$41:$AL$41,MAX(1,Z$2-11)):Z41)</f>
        <v>15000.39625</v>
      </c>
      <c r="AA42" s="11" t="n">
        <f aca="false">SUM(INDEX($C$41:$AL$41,MAX(1,AA$2-11)):AA41)</f>
        <v>31527.2652708333</v>
      </c>
      <c r="AB42" s="11" t="n">
        <f aca="false">SUM(INDEX($C$41:$AL$41,MAX(1,AB$2-11)):AB41)</f>
        <v>36757.5180416666</v>
      </c>
      <c r="AC42" s="11" t="n">
        <f aca="false">SUM(INDEX($C$41:$AL$41,MAX(1,AC$2-11)):AC41)</f>
        <v>42478.35575</v>
      </c>
      <c r="AD42" s="11" t="n">
        <f aca="false">SUM(INDEX($C$41:$AL$41,MAX(1,AD$2-11)):AD41)</f>
        <v>61532.3358958333</v>
      </c>
      <c r="AE42" s="11" t="n">
        <f aca="false">SUM(INDEX($C$41:$AL$41,MAX(1,AE$2-11)):AE41)</f>
        <v>57005.8735416667</v>
      </c>
      <c r="AF42" s="11" t="n">
        <f aca="false">SUM(INDEX($C$41:$AL$41,MAX(1,AF$2-11)):AF41)</f>
        <v>76174.722375</v>
      </c>
      <c r="AG42" s="11" t="n">
        <f aca="false">SUM(INDEX($C$41:$AL$41,MAX(1,AG$2-11)):AG41)</f>
        <v>85004.7636458333</v>
      </c>
      <c r="AH42" s="11" t="n">
        <f aca="false">SUM(INDEX($C$41:$AL$41,MAX(1,AH$2-11)):AH41)</f>
        <v>106210.138666667</v>
      </c>
      <c r="AI42" s="11" t="n">
        <f aca="false">SUM(INDEX($C$41:$AL$41,MAX(1,AI$2-11)):AI41)</f>
        <v>104325.656125</v>
      </c>
      <c r="AJ42" s="11" t="n">
        <f aca="false">SUM(INDEX($C$41:$AL$41,MAX(1,AJ$2-11)):AJ41)</f>
        <v>113385.434770833</v>
      </c>
      <c r="AK42" s="11" t="n">
        <f aca="false">SUM(INDEX($C$41:$AL$41,MAX(1,AK$2-11)):AK41)</f>
        <v>135778.355854167</v>
      </c>
      <c r="AL42" s="11" t="n">
        <f aca="false">SUM(INDEX($C$41:$AL$41,MAX(1,AL$2-11)):AL41)</f>
        <v>154999.6606875</v>
      </c>
    </row>
    <row r="43" customFormat="false" ht="15" hidden="false" customHeight="false" outlineLevel="0" collapsed="false">
      <c r="A43" s="14" t="s">
        <v>225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customFormat="false" ht="15" hidden="false" customHeight="false" outlineLevel="0" collapsed="false">
      <c r="A44" s="2" t="s">
        <v>226</v>
      </c>
      <c r="B44" s="4"/>
      <c r="C44" s="11" t="n">
        <f aca="false">IF(C$2=Inputs!$C$52,Inputs!$C$53,0)</f>
        <v>35000</v>
      </c>
      <c r="D44" s="11" t="n">
        <f aca="false">IF(D$2=Inputs!$C$52,Inputs!$C$53,0)</f>
        <v>0</v>
      </c>
      <c r="E44" s="11" t="n">
        <f aca="false">IF(E$2=Inputs!$C$52,Inputs!$C$53,0)</f>
        <v>0</v>
      </c>
      <c r="F44" s="11" t="n">
        <f aca="false">IF(F$2=Inputs!$C$52,Inputs!$C$53,0)</f>
        <v>0</v>
      </c>
      <c r="G44" s="11" t="n">
        <f aca="false">IF(G$2=Inputs!$C$52,Inputs!$C$53,0)</f>
        <v>0</v>
      </c>
      <c r="H44" s="11" t="n">
        <f aca="false">IF(H$2=Inputs!$C$52,Inputs!$C$53,0)</f>
        <v>0</v>
      </c>
      <c r="I44" s="11" t="n">
        <f aca="false">IF(I$2=Inputs!$C$52,Inputs!$C$53,0)</f>
        <v>0</v>
      </c>
      <c r="J44" s="11" t="n">
        <f aca="false">IF(J$2=Inputs!$C$52,Inputs!$C$53,0)</f>
        <v>0</v>
      </c>
      <c r="K44" s="11" t="n">
        <f aca="false">IF(K$2=Inputs!$C$52,Inputs!$C$53,0)</f>
        <v>0</v>
      </c>
      <c r="L44" s="11" t="n">
        <f aca="false">IF(L$2=Inputs!$C$52,Inputs!$C$53,0)</f>
        <v>0</v>
      </c>
      <c r="M44" s="11" t="n">
        <f aca="false">IF(M$2=Inputs!$C$52,Inputs!$C$53,0)</f>
        <v>0</v>
      </c>
      <c r="N44" s="11" t="n">
        <f aca="false">IF(N$2=Inputs!$C$52,Inputs!$C$53,0)</f>
        <v>0</v>
      </c>
      <c r="O44" s="11" t="n">
        <f aca="false">IF(O$2=Inputs!$C$52,Inputs!$C$53,0)</f>
        <v>0</v>
      </c>
      <c r="P44" s="11" t="n">
        <f aca="false">IF(P$2=Inputs!$C$52,Inputs!$C$53,0)</f>
        <v>0</v>
      </c>
      <c r="Q44" s="11" t="n">
        <f aca="false">IF(Q$2=Inputs!$C$52,Inputs!$C$53,0)</f>
        <v>0</v>
      </c>
      <c r="R44" s="11" t="n">
        <f aca="false">IF(R$2=Inputs!$C$52,Inputs!$C$53,0)</f>
        <v>0</v>
      </c>
      <c r="S44" s="11" t="n">
        <f aca="false">IF(S$2=Inputs!$C$52,Inputs!$C$53,0)</f>
        <v>0</v>
      </c>
      <c r="T44" s="11" t="n">
        <f aca="false">IF(T$2=Inputs!$C$52,Inputs!$C$53,0)</f>
        <v>0</v>
      </c>
      <c r="U44" s="11" t="n">
        <f aca="false">IF(U$2=Inputs!$C$52,Inputs!$C$53,0)</f>
        <v>0</v>
      </c>
      <c r="V44" s="11" t="n">
        <f aca="false">IF(V$2=Inputs!$C$52,Inputs!$C$53,0)</f>
        <v>0</v>
      </c>
      <c r="W44" s="11" t="n">
        <f aca="false">IF(W$2=Inputs!$C$52,Inputs!$C$53,0)</f>
        <v>0</v>
      </c>
      <c r="X44" s="11" t="n">
        <f aca="false">IF(X$2=Inputs!$C$52,Inputs!$C$53,0)</f>
        <v>0</v>
      </c>
      <c r="Y44" s="11" t="n">
        <f aca="false">IF(Y$2=Inputs!$C$52,Inputs!$C$53,0)</f>
        <v>0</v>
      </c>
      <c r="Z44" s="11" t="n">
        <f aca="false">IF(Z$2=Inputs!$C$52,Inputs!$C$53,0)</f>
        <v>0</v>
      </c>
      <c r="AA44" s="11" t="n">
        <f aca="false">IF(AA$2=Inputs!$C$52,Inputs!$C$53,0)</f>
        <v>0</v>
      </c>
      <c r="AB44" s="11" t="n">
        <f aca="false">IF(AB$2=Inputs!$C$52,Inputs!$C$53,0)</f>
        <v>0</v>
      </c>
      <c r="AC44" s="11" t="n">
        <f aca="false">IF(AC$2=Inputs!$C$52,Inputs!$C$53,0)</f>
        <v>0</v>
      </c>
      <c r="AD44" s="11" t="n">
        <f aca="false">IF(AD$2=Inputs!$C$52,Inputs!$C$53,0)</f>
        <v>0</v>
      </c>
      <c r="AE44" s="11" t="n">
        <f aca="false">IF(AE$2=Inputs!$C$52,Inputs!$C$53,0)</f>
        <v>0</v>
      </c>
      <c r="AF44" s="11" t="n">
        <f aca="false">IF(AF$2=Inputs!$C$52,Inputs!$C$53,0)</f>
        <v>0</v>
      </c>
      <c r="AG44" s="11" t="n">
        <f aca="false">IF(AG$2=Inputs!$C$52,Inputs!$C$53,0)</f>
        <v>0</v>
      </c>
      <c r="AH44" s="11" t="n">
        <f aca="false">IF(AH$2=Inputs!$C$52,Inputs!$C$53,0)</f>
        <v>0</v>
      </c>
      <c r="AI44" s="11" t="n">
        <f aca="false">IF(AI$2=Inputs!$C$52,Inputs!$C$53,0)</f>
        <v>0</v>
      </c>
      <c r="AJ44" s="11" t="n">
        <f aca="false">IF(AJ$2=Inputs!$C$52,Inputs!$C$53,0)</f>
        <v>0</v>
      </c>
      <c r="AK44" s="11" t="n">
        <f aca="false">IF(AK$2=Inputs!$C$52,Inputs!$C$53,0)</f>
        <v>0</v>
      </c>
      <c r="AL44" s="11" t="n">
        <f aca="false">IF(AL$2=Inputs!$C$52,Inputs!$C$53,0)</f>
        <v>0</v>
      </c>
    </row>
    <row r="45" customFormat="false" ht="15" hidden="false" customHeight="false" outlineLevel="0" collapsed="false">
      <c r="A45" s="2" t="s">
        <v>227</v>
      </c>
      <c r="B45" s="4"/>
      <c r="C45" s="11" t="n">
        <f aca="false">IF(C$2=1,Inputs!$C$54,0)</f>
        <v>0</v>
      </c>
      <c r="D45" s="11" t="n">
        <f aca="false">IF(D$2=1,Inputs!$C$54,0)</f>
        <v>0</v>
      </c>
      <c r="E45" s="11" t="n">
        <f aca="false">IF(E$2=1,Inputs!$C$54,0)</f>
        <v>0</v>
      </c>
      <c r="F45" s="11" t="n">
        <f aca="false">IF(F$2=1,Inputs!$C$54,0)</f>
        <v>0</v>
      </c>
      <c r="G45" s="11" t="n">
        <f aca="false">IF(G$2=1,Inputs!$C$54,0)</f>
        <v>0</v>
      </c>
      <c r="H45" s="11" t="n">
        <f aca="false">IF(H$2=1,Inputs!$C$54,0)</f>
        <v>0</v>
      </c>
      <c r="I45" s="11" t="n">
        <f aca="false">IF(I$2=1,Inputs!$C$54,0)</f>
        <v>0</v>
      </c>
      <c r="J45" s="11" t="n">
        <f aca="false">IF(J$2=1,Inputs!$C$54,0)</f>
        <v>0</v>
      </c>
      <c r="K45" s="11" t="n">
        <f aca="false">IF(K$2=1,Inputs!$C$54,0)</f>
        <v>0</v>
      </c>
      <c r="L45" s="11" t="n">
        <f aca="false">IF(L$2=1,Inputs!$C$54,0)</f>
        <v>0</v>
      </c>
      <c r="M45" s="11" t="n">
        <f aca="false">IF(M$2=1,Inputs!$C$54,0)</f>
        <v>0</v>
      </c>
      <c r="N45" s="11" t="n">
        <f aca="false">IF(N$2=1,Inputs!$C$54,0)</f>
        <v>0</v>
      </c>
      <c r="O45" s="11" t="n">
        <f aca="false">IF(O$2=1,Inputs!$C$54,0)</f>
        <v>0</v>
      </c>
      <c r="P45" s="11" t="n">
        <f aca="false">IF(P$2=1,Inputs!$C$54,0)</f>
        <v>0</v>
      </c>
      <c r="Q45" s="11" t="n">
        <f aca="false">IF(Q$2=1,Inputs!$C$54,0)</f>
        <v>0</v>
      </c>
      <c r="R45" s="11" t="n">
        <f aca="false">IF(R$2=1,Inputs!$C$54,0)</f>
        <v>0</v>
      </c>
      <c r="S45" s="11" t="n">
        <f aca="false">IF(S$2=1,Inputs!$C$54,0)</f>
        <v>0</v>
      </c>
      <c r="T45" s="11" t="n">
        <f aca="false">IF(T$2=1,Inputs!$C$54,0)</f>
        <v>0</v>
      </c>
      <c r="U45" s="11" t="n">
        <f aca="false">IF(U$2=1,Inputs!$C$54,0)</f>
        <v>0</v>
      </c>
      <c r="V45" s="11" t="n">
        <f aca="false">IF(V$2=1,Inputs!$C$54,0)</f>
        <v>0</v>
      </c>
      <c r="W45" s="11" t="n">
        <f aca="false">IF(W$2=1,Inputs!$C$54,0)</f>
        <v>0</v>
      </c>
      <c r="X45" s="11" t="n">
        <f aca="false">IF(X$2=1,Inputs!$C$54,0)</f>
        <v>0</v>
      </c>
      <c r="Y45" s="11" t="n">
        <f aca="false">IF(Y$2=1,Inputs!$C$54,0)</f>
        <v>0</v>
      </c>
      <c r="Z45" s="11" t="n">
        <f aca="false">IF(Z$2=1,Inputs!$C$54,0)</f>
        <v>0</v>
      </c>
      <c r="AA45" s="11" t="n">
        <f aca="false">IF(AA$2=1,Inputs!$C$54,0)</f>
        <v>0</v>
      </c>
      <c r="AB45" s="11" t="n">
        <f aca="false">IF(AB$2=1,Inputs!$C$54,0)</f>
        <v>0</v>
      </c>
      <c r="AC45" s="11" t="n">
        <f aca="false">IF(AC$2=1,Inputs!$C$54,0)</f>
        <v>0</v>
      </c>
      <c r="AD45" s="11" t="n">
        <f aca="false">IF(AD$2=1,Inputs!$C$54,0)</f>
        <v>0</v>
      </c>
      <c r="AE45" s="11" t="n">
        <f aca="false">IF(AE$2=1,Inputs!$C$54,0)</f>
        <v>0</v>
      </c>
      <c r="AF45" s="11" t="n">
        <f aca="false">IF(AF$2=1,Inputs!$C$54,0)</f>
        <v>0</v>
      </c>
      <c r="AG45" s="11" t="n">
        <f aca="false">IF(AG$2=1,Inputs!$C$54,0)</f>
        <v>0</v>
      </c>
      <c r="AH45" s="11" t="n">
        <f aca="false">IF(AH$2=1,Inputs!$C$54,0)</f>
        <v>0</v>
      </c>
      <c r="AI45" s="11" t="n">
        <f aca="false">IF(AI$2=1,Inputs!$C$54,0)</f>
        <v>0</v>
      </c>
      <c r="AJ45" s="11" t="n">
        <f aca="false">IF(AJ$2=1,Inputs!$C$54,0)</f>
        <v>0</v>
      </c>
      <c r="AK45" s="11" t="n">
        <f aca="false">IF(AK$2=1,Inputs!$C$54,0)</f>
        <v>0</v>
      </c>
      <c r="AL45" s="11" t="n">
        <f aca="false">IF(AL$2=1,Inputs!$C$54,0)</f>
        <v>0</v>
      </c>
    </row>
    <row r="46" customFormat="false" ht="15" hidden="false" customHeight="false" outlineLevel="0" collapsed="false">
      <c r="A46" s="2" t="s">
        <v>228</v>
      </c>
      <c r="B46" s="4"/>
      <c r="C46" s="11" t="n">
        <f aca="false">IF(C$2=Inputs!$C$55,Inputs!$C$56,0)</f>
        <v>0</v>
      </c>
      <c r="D46" s="11" t="n">
        <f aca="false">IF(D$2=Inputs!$C$55,Inputs!$C$56,0)</f>
        <v>0</v>
      </c>
      <c r="E46" s="11" t="n">
        <f aca="false">IF(E$2=Inputs!$C$55,Inputs!$C$56,0)</f>
        <v>0</v>
      </c>
      <c r="F46" s="11" t="n">
        <f aca="false">IF(F$2=Inputs!$C$55,Inputs!$C$56,0)</f>
        <v>0</v>
      </c>
      <c r="G46" s="11" t="n">
        <f aca="false">IF(G$2=Inputs!$C$55,Inputs!$C$56,0)</f>
        <v>200000</v>
      </c>
      <c r="H46" s="11" t="n">
        <f aca="false">IF(H$2=Inputs!$C$55,Inputs!$C$56,0)</f>
        <v>0</v>
      </c>
      <c r="I46" s="11" t="n">
        <f aca="false">IF(I$2=Inputs!$C$55,Inputs!$C$56,0)</f>
        <v>0</v>
      </c>
      <c r="J46" s="11" t="n">
        <f aca="false">IF(J$2=Inputs!$C$55,Inputs!$C$56,0)</f>
        <v>0</v>
      </c>
      <c r="K46" s="11" t="n">
        <f aca="false">IF(K$2=Inputs!$C$55,Inputs!$C$56,0)</f>
        <v>0</v>
      </c>
      <c r="L46" s="11" t="n">
        <f aca="false">IF(L$2=Inputs!$C$55,Inputs!$C$56,0)</f>
        <v>0</v>
      </c>
      <c r="M46" s="11" t="n">
        <f aca="false">IF(M$2=Inputs!$C$55,Inputs!$C$56,0)</f>
        <v>0</v>
      </c>
      <c r="N46" s="11" t="n">
        <f aca="false">IF(N$2=Inputs!$C$55,Inputs!$C$56,0)</f>
        <v>0</v>
      </c>
      <c r="O46" s="11" t="n">
        <f aca="false">IF(O$2=Inputs!$C$55,Inputs!$C$56,0)</f>
        <v>0</v>
      </c>
      <c r="P46" s="11" t="n">
        <f aca="false">IF(P$2=Inputs!$C$55,Inputs!$C$56,0)</f>
        <v>0</v>
      </c>
      <c r="Q46" s="11" t="n">
        <f aca="false">IF(Q$2=Inputs!$C$55,Inputs!$C$56,0)</f>
        <v>0</v>
      </c>
      <c r="R46" s="11" t="n">
        <f aca="false">IF(R$2=Inputs!$C$55,Inputs!$C$56,0)</f>
        <v>0</v>
      </c>
      <c r="S46" s="11" t="n">
        <f aca="false">IF(S$2=Inputs!$C$55,Inputs!$C$56,0)</f>
        <v>0</v>
      </c>
      <c r="T46" s="11" t="n">
        <f aca="false">IF(T$2=Inputs!$C$55,Inputs!$C$56,0)</f>
        <v>0</v>
      </c>
      <c r="U46" s="11" t="n">
        <f aca="false">IF(U$2=Inputs!$C$55,Inputs!$C$56,0)</f>
        <v>0</v>
      </c>
      <c r="V46" s="11" t="n">
        <f aca="false">IF(V$2=Inputs!$C$55,Inputs!$C$56,0)</f>
        <v>0</v>
      </c>
      <c r="W46" s="11" t="n">
        <f aca="false">IF(W$2=Inputs!$C$55,Inputs!$C$56,0)</f>
        <v>0</v>
      </c>
      <c r="X46" s="11" t="n">
        <f aca="false">IF(X$2=Inputs!$C$55,Inputs!$C$56,0)</f>
        <v>0</v>
      </c>
      <c r="Y46" s="11" t="n">
        <f aca="false">IF(Y$2=Inputs!$C$55,Inputs!$C$56,0)</f>
        <v>0</v>
      </c>
      <c r="Z46" s="11" t="n">
        <f aca="false">IF(Z$2=Inputs!$C$55,Inputs!$C$56,0)</f>
        <v>0</v>
      </c>
      <c r="AA46" s="11" t="n">
        <f aca="false">IF(AA$2=Inputs!$C$55,Inputs!$C$56,0)</f>
        <v>0</v>
      </c>
      <c r="AB46" s="11" t="n">
        <f aca="false">IF(AB$2=Inputs!$C$55,Inputs!$C$56,0)</f>
        <v>0</v>
      </c>
      <c r="AC46" s="11" t="n">
        <f aca="false">IF(AC$2=Inputs!$C$55,Inputs!$C$56,0)</f>
        <v>0</v>
      </c>
      <c r="AD46" s="11" t="n">
        <f aca="false">IF(AD$2=Inputs!$C$55,Inputs!$C$56,0)</f>
        <v>0</v>
      </c>
      <c r="AE46" s="11" t="n">
        <f aca="false">IF(AE$2=Inputs!$C$55,Inputs!$C$56,0)</f>
        <v>0</v>
      </c>
      <c r="AF46" s="11" t="n">
        <f aca="false">IF(AF$2=Inputs!$C$55,Inputs!$C$56,0)</f>
        <v>0</v>
      </c>
      <c r="AG46" s="11" t="n">
        <f aca="false">IF(AG$2=Inputs!$C$55,Inputs!$C$56,0)</f>
        <v>0</v>
      </c>
      <c r="AH46" s="11" t="n">
        <f aca="false">IF(AH$2=Inputs!$C$55,Inputs!$C$56,0)</f>
        <v>0</v>
      </c>
      <c r="AI46" s="11" t="n">
        <f aca="false">IF(AI$2=Inputs!$C$55,Inputs!$C$56,0)</f>
        <v>0</v>
      </c>
      <c r="AJ46" s="11" t="n">
        <f aca="false">IF(AJ$2=Inputs!$C$55,Inputs!$C$56,0)</f>
        <v>0</v>
      </c>
      <c r="AK46" s="11" t="n">
        <f aca="false">IF(AK$2=Inputs!$C$55,Inputs!$C$56,0)</f>
        <v>0</v>
      </c>
      <c r="AL46" s="11" t="n">
        <f aca="false">IF(AL$2=Inputs!$C$55,Inputs!$C$56,0)</f>
        <v>0</v>
      </c>
    </row>
    <row r="47" customFormat="false" ht="15" hidden="false" customHeight="false" outlineLevel="0" collapsed="false">
      <c r="A47" s="2" t="s">
        <v>229</v>
      </c>
      <c r="B47" s="4"/>
      <c r="C47" s="11" t="n">
        <f aca="false">IF(C$2=Inputs!$C$59,Inputs!$C$60,0)</f>
        <v>0</v>
      </c>
      <c r="D47" s="11" t="n">
        <f aca="false">IF(D$2=Inputs!$C$59,Inputs!$C$60,0)</f>
        <v>0</v>
      </c>
      <c r="E47" s="11" t="n">
        <f aca="false">IF(E$2=Inputs!$C$59,Inputs!$C$60,0)</f>
        <v>0</v>
      </c>
      <c r="F47" s="11" t="n">
        <f aca="false">IF(F$2=Inputs!$C$59,Inputs!$C$60,0)</f>
        <v>0</v>
      </c>
      <c r="G47" s="11" t="n">
        <f aca="false">IF(G$2=Inputs!$C$59,Inputs!$C$60,0)</f>
        <v>200000</v>
      </c>
      <c r="H47" s="11" t="n">
        <f aca="false">IF(H$2=Inputs!$C$59,Inputs!$C$60,0)</f>
        <v>0</v>
      </c>
      <c r="I47" s="11" t="n">
        <f aca="false">IF(I$2=Inputs!$C$59,Inputs!$C$60,0)</f>
        <v>0</v>
      </c>
      <c r="J47" s="11" t="n">
        <f aca="false">IF(J$2=Inputs!$C$59,Inputs!$C$60,0)</f>
        <v>0</v>
      </c>
      <c r="K47" s="11" t="n">
        <f aca="false">IF(K$2=Inputs!$C$59,Inputs!$C$60,0)</f>
        <v>0</v>
      </c>
      <c r="L47" s="11" t="n">
        <f aca="false">IF(L$2=Inputs!$C$59,Inputs!$C$60,0)</f>
        <v>0</v>
      </c>
      <c r="M47" s="11" t="n">
        <f aca="false">IF(M$2=Inputs!$C$59,Inputs!$C$60,0)</f>
        <v>0</v>
      </c>
      <c r="N47" s="11" t="n">
        <f aca="false">IF(N$2=Inputs!$C$59,Inputs!$C$60,0)</f>
        <v>0</v>
      </c>
      <c r="O47" s="11" t="n">
        <f aca="false">IF(O$2=Inputs!$C$59,Inputs!$C$60,0)</f>
        <v>0</v>
      </c>
      <c r="P47" s="11" t="n">
        <f aca="false">IF(P$2=Inputs!$C$59,Inputs!$C$60,0)</f>
        <v>0</v>
      </c>
      <c r="Q47" s="11" t="n">
        <f aca="false">IF(Q$2=Inputs!$C$59,Inputs!$C$60,0)</f>
        <v>0</v>
      </c>
      <c r="R47" s="11" t="n">
        <f aca="false">IF(R$2=Inputs!$C$59,Inputs!$C$60,0)</f>
        <v>0</v>
      </c>
      <c r="S47" s="11" t="n">
        <f aca="false">IF(S$2=Inputs!$C$59,Inputs!$C$60,0)</f>
        <v>0</v>
      </c>
      <c r="T47" s="11" t="n">
        <f aca="false">IF(T$2=Inputs!$C$59,Inputs!$C$60,0)</f>
        <v>0</v>
      </c>
      <c r="U47" s="11" t="n">
        <f aca="false">IF(U$2=Inputs!$C$59,Inputs!$C$60,0)</f>
        <v>0</v>
      </c>
      <c r="V47" s="11" t="n">
        <f aca="false">IF(V$2=Inputs!$C$59,Inputs!$C$60,0)</f>
        <v>0</v>
      </c>
      <c r="W47" s="11" t="n">
        <f aca="false">IF(W$2=Inputs!$C$59,Inputs!$C$60,0)</f>
        <v>0</v>
      </c>
      <c r="X47" s="11" t="n">
        <f aca="false">IF(X$2=Inputs!$C$59,Inputs!$C$60,0)</f>
        <v>0</v>
      </c>
      <c r="Y47" s="11" t="n">
        <f aca="false">IF(Y$2=Inputs!$C$59,Inputs!$C$60,0)</f>
        <v>0</v>
      </c>
      <c r="Z47" s="11" t="n">
        <f aca="false">IF(Z$2=Inputs!$C$59,Inputs!$C$60,0)</f>
        <v>0</v>
      </c>
      <c r="AA47" s="11" t="n">
        <f aca="false">IF(AA$2=Inputs!$C$59,Inputs!$C$60,0)</f>
        <v>0</v>
      </c>
      <c r="AB47" s="11" t="n">
        <f aca="false">IF(AB$2=Inputs!$C$59,Inputs!$C$60,0)</f>
        <v>0</v>
      </c>
      <c r="AC47" s="11" t="n">
        <f aca="false">IF(AC$2=Inputs!$C$59,Inputs!$C$60,0)</f>
        <v>0</v>
      </c>
      <c r="AD47" s="11" t="n">
        <f aca="false">IF(AD$2=Inputs!$C$59,Inputs!$C$60,0)</f>
        <v>0</v>
      </c>
      <c r="AE47" s="11" t="n">
        <f aca="false">IF(AE$2=Inputs!$C$59,Inputs!$C$60,0)</f>
        <v>0</v>
      </c>
      <c r="AF47" s="11" t="n">
        <f aca="false">IF(AF$2=Inputs!$C$59,Inputs!$C$60,0)</f>
        <v>0</v>
      </c>
      <c r="AG47" s="11" t="n">
        <f aca="false">IF(AG$2=Inputs!$C$59,Inputs!$C$60,0)</f>
        <v>0</v>
      </c>
      <c r="AH47" s="11" t="n">
        <f aca="false">IF(AH$2=Inputs!$C$59,Inputs!$C$60,0)</f>
        <v>0</v>
      </c>
      <c r="AI47" s="11" t="n">
        <f aca="false">IF(AI$2=Inputs!$C$59,Inputs!$C$60,0)</f>
        <v>0</v>
      </c>
      <c r="AJ47" s="11" t="n">
        <f aca="false">IF(AJ$2=Inputs!$C$59,Inputs!$C$60,0)</f>
        <v>0</v>
      </c>
      <c r="AK47" s="11" t="n">
        <f aca="false">IF(AK$2=Inputs!$C$59,Inputs!$C$60,0)</f>
        <v>0</v>
      </c>
      <c r="AL47" s="11" t="n">
        <f aca="false">IF(AL$2=Inputs!$C$59,Inputs!$C$60,0)</f>
        <v>0</v>
      </c>
    </row>
    <row r="48" customFormat="false" ht="15" hidden="false" customHeight="false" outlineLevel="0" collapsed="false">
      <c r="A48" s="2" t="s">
        <v>230</v>
      </c>
      <c r="B48" s="4"/>
      <c r="C48" s="11" t="n">
        <f aca="false">0</f>
        <v>0</v>
      </c>
      <c r="D48" s="11" t="n">
        <f aca="false">C51</f>
        <v>0</v>
      </c>
      <c r="E48" s="11" t="n">
        <f aca="false">D51</f>
        <v>0</v>
      </c>
      <c r="F48" s="11" t="n">
        <f aca="false">E51</f>
        <v>0</v>
      </c>
      <c r="G48" s="11" t="n">
        <f aca="false">F51</f>
        <v>0</v>
      </c>
      <c r="H48" s="11" t="n">
        <f aca="false">G51</f>
        <v>200000</v>
      </c>
      <c r="I48" s="11" t="n">
        <f aca="false">H51</f>
        <v>199051.300064489</v>
      </c>
      <c r="J48" s="11" t="n">
        <f aca="false">I51</f>
        <v>198094.299004542</v>
      </c>
      <c r="K48" s="11" t="n">
        <f aca="false">J51</f>
        <v>197128.924185321</v>
      </c>
      <c r="L48" s="11" t="n">
        <f aca="false">K51</f>
        <v>196155.102336432</v>
      </c>
      <c r="M48" s="11" t="n">
        <f aca="false">L51</f>
        <v>195172.759546365</v>
      </c>
      <c r="N48" s="11" t="n">
        <f aca="false">M51</f>
        <v>194181.821256885</v>
      </c>
      <c r="O48" s="11" t="n">
        <f aca="false">N51</f>
        <v>193182.212257371</v>
      </c>
      <c r="P48" s="11" t="n">
        <f aca="false">O51</f>
        <v>192173.856679112</v>
      </c>
      <c r="Q48" s="11" t="n">
        <f aca="false">P51</f>
        <v>191156.677989544</v>
      </c>
      <c r="R48" s="11" t="n">
        <f aca="false">Q51</f>
        <v>190130.598986441</v>
      </c>
      <c r="S48" s="11" t="n">
        <f aca="false">R51</f>
        <v>189095.541792062</v>
      </c>
      <c r="T48" s="11" t="n">
        <f aca="false">S51</f>
        <v>188051.427847231</v>
      </c>
      <c r="U48" s="11" t="n">
        <f aca="false">T51</f>
        <v>186998.177905384</v>
      </c>
      <c r="V48" s="11" t="n">
        <f aca="false">U51</f>
        <v>185935.712026545</v>
      </c>
      <c r="W48" s="11" t="n">
        <f aca="false">V51</f>
        <v>184863.949571266</v>
      </c>
      <c r="X48" s="11" t="n">
        <f aca="false">W51</f>
        <v>183782.809194504</v>
      </c>
      <c r="Y48" s="11" t="n">
        <f aca="false">X51</f>
        <v>182692.208839445</v>
      </c>
      <c r="Z48" s="11" t="n">
        <f aca="false">Y51</f>
        <v>181592.065731279</v>
      </c>
      <c r="AA48" s="11" t="n">
        <f aca="false">Z51</f>
        <v>180482.296370917</v>
      </c>
      <c r="AB48" s="11" t="n">
        <f aca="false">AA51</f>
        <v>179362.816528651</v>
      </c>
      <c r="AC48" s="11" t="n">
        <f aca="false">AB51</f>
        <v>178233.541237766</v>
      </c>
      <c r="AD48" s="11" t="n">
        <f aca="false">AC51</f>
        <v>177094.384788086</v>
      </c>
      <c r="AE48" s="11" t="n">
        <f aca="false">AD51</f>
        <v>175945.260719471</v>
      </c>
      <c r="AF48" s="11" t="n">
        <f aca="false">AE51</f>
        <v>174786.081815255</v>
      </c>
      <c r="AG48" s="11" t="n">
        <f aca="false">AF51</f>
        <v>173616.760095627</v>
      </c>
      <c r="AH48" s="11" t="n">
        <f aca="false">AG51</f>
        <v>172437.206810953</v>
      </c>
      <c r="AI48" s="11" t="n">
        <f aca="false">AH51</f>
        <v>171247.332435038</v>
      </c>
      <c r="AJ48" s="11" t="n">
        <f aca="false">AI51</f>
        <v>170047.046658334</v>
      </c>
      <c r="AK48" s="11" t="n">
        <f aca="false">AJ51</f>
        <v>168836.258381083</v>
      </c>
      <c r="AL48" s="11" t="n">
        <f aca="false">AK51</f>
        <v>167614.875706407</v>
      </c>
    </row>
    <row r="49" customFormat="false" ht="15" hidden="false" customHeight="false" outlineLevel="0" collapsed="false">
      <c r="A49" s="2" t="s">
        <v>231</v>
      </c>
      <c r="B49" s="4"/>
      <c r="C49" s="11" t="n">
        <f aca="false">C48*Inputs!$C$57/12</f>
        <v>0</v>
      </c>
      <c r="D49" s="11" t="n">
        <f aca="false">D48*Inputs!$C$57/12</f>
        <v>0</v>
      </c>
      <c r="E49" s="11" t="n">
        <f aca="false">E48*Inputs!$C$57/12</f>
        <v>0</v>
      </c>
      <c r="F49" s="11" t="n">
        <f aca="false">F48*Inputs!$C$57/12</f>
        <v>0</v>
      </c>
      <c r="G49" s="11" t="n">
        <f aca="false">G48*Inputs!$C$57/12</f>
        <v>0</v>
      </c>
      <c r="H49" s="11" t="n">
        <f aca="false">H48*Inputs!$C$57/12</f>
        <v>1750</v>
      </c>
      <c r="I49" s="11" t="n">
        <f aca="false">I48*Inputs!$C$57/12</f>
        <v>1741.69887556428</v>
      </c>
      <c r="J49" s="11" t="n">
        <f aca="false">J48*Inputs!$C$57/12</f>
        <v>1733.32511628975</v>
      </c>
      <c r="K49" s="11" t="n">
        <f aca="false">K48*Inputs!$C$57/12</f>
        <v>1724.87808662156</v>
      </c>
      <c r="L49" s="11" t="n">
        <f aca="false">L48*Inputs!$C$57/12</f>
        <v>1716.35714544378</v>
      </c>
      <c r="M49" s="11" t="n">
        <f aca="false">M48*Inputs!$C$57/12</f>
        <v>1707.76164603069</v>
      </c>
      <c r="N49" s="11" t="n">
        <f aca="false">N48*Inputs!$C$57/12</f>
        <v>1699.09093599774</v>
      </c>
      <c r="O49" s="11" t="n">
        <f aca="false">O48*Inputs!$C$57/12</f>
        <v>1690.344357252</v>
      </c>
      <c r="P49" s="11" t="n">
        <f aca="false">P48*Inputs!$C$57/12</f>
        <v>1681.52124594223</v>
      </c>
      <c r="Q49" s="11" t="n">
        <f aca="false">Q48*Inputs!$C$57/12</f>
        <v>1672.62093240851</v>
      </c>
      <c r="R49" s="11" t="n">
        <f aca="false">R48*Inputs!$C$57/12</f>
        <v>1663.64274113136</v>
      </c>
      <c r="S49" s="11" t="n">
        <f aca="false">S48*Inputs!$C$57/12</f>
        <v>1654.58599068054</v>
      </c>
      <c r="T49" s="11" t="n">
        <f aca="false">T48*Inputs!$C$57/12</f>
        <v>1645.44999366327</v>
      </c>
      <c r="U49" s="11" t="n">
        <f aca="false">U48*Inputs!$C$57/12</f>
        <v>1636.23405667211</v>
      </c>
      <c r="V49" s="11" t="n">
        <f aca="false">V48*Inputs!$C$57/12</f>
        <v>1626.93748023227</v>
      </c>
      <c r="W49" s="11" t="n">
        <f aca="false">W48*Inputs!$C$57/12</f>
        <v>1617.55955874858</v>
      </c>
      <c r="X49" s="11" t="n">
        <f aca="false">X48*Inputs!$C$57/12</f>
        <v>1608.09958045191</v>
      </c>
      <c r="Y49" s="11" t="n">
        <f aca="false">Y48*Inputs!$C$57/12</f>
        <v>1598.55682734514</v>
      </c>
      <c r="Z49" s="11" t="n">
        <f aca="false">Z48*Inputs!$C$57/12</f>
        <v>1588.93057514869</v>
      </c>
      <c r="AA49" s="11" t="n">
        <f aca="false">AA48*Inputs!$C$57/12</f>
        <v>1579.22009324552</v>
      </c>
      <c r="AB49" s="11" t="n">
        <f aca="false">AB48*Inputs!$C$57/12</f>
        <v>1569.4246446257</v>
      </c>
      <c r="AC49" s="11" t="n">
        <f aca="false">AC48*Inputs!$C$57/12</f>
        <v>1559.54348583045</v>
      </c>
      <c r="AD49" s="11" t="n">
        <f aca="false">AD48*Inputs!$C$57/12</f>
        <v>1549.57586689575</v>
      </c>
      <c r="AE49" s="11" t="n">
        <f aca="false">AE48*Inputs!$C$57/12</f>
        <v>1539.52103129537</v>
      </c>
      <c r="AF49" s="11" t="n">
        <f aca="false">AF48*Inputs!$C$57/12</f>
        <v>1529.37821588348</v>
      </c>
      <c r="AG49" s="11" t="n">
        <f aca="false">AG48*Inputs!$C$57/12</f>
        <v>1519.14665083674</v>
      </c>
      <c r="AH49" s="11" t="n">
        <f aca="false">AH48*Inputs!$C$57/12</f>
        <v>1508.82555959584</v>
      </c>
      <c r="AI49" s="11" t="n">
        <f aca="false">AI48*Inputs!$C$57/12</f>
        <v>1498.41415880658</v>
      </c>
      <c r="AJ49" s="11" t="n">
        <f aca="false">AJ48*Inputs!$C$57/12</f>
        <v>1487.91165826042</v>
      </c>
      <c r="AK49" s="11" t="n">
        <f aca="false">AK48*Inputs!$C$57/12</f>
        <v>1477.31726083448</v>
      </c>
      <c r="AL49" s="11" t="n">
        <f aca="false">AL48*Inputs!$C$57/12</f>
        <v>1466.63016243106</v>
      </c>
    </row>
    <row r="50" customFormat="false" ht="15" hidden="false" customHeight="false" outlineLevel="0" collapsed="false">
      <c r="A50" s="2" t="s">
        <v>232</v>
      </c>
      <c r="B50" s="4"/>
      <c r="C50" s="11" t="n">
        <f aca="false">IF(C$2&gt;Inputs!$C$55,MIN(Inputs!$C$62,C48+C49),0)</f>
        <v>0</v>
      </c>
      <c r="D50" s="11" t="n">
        <f aca="false">IF(D$2&gt;Inputs!$C$55,MIN(Inputs!$C$62,D48+D49),0)</f>
        <v>0</v>
      </c>
      <c r="E50" s="11" t="n">
        <f aca="false">IF(E$2&gt;Inputs!$C$55,MIN(Inputs!$C$62,E48+E49),0)</f>
        <v>0</v>
      </c>
      <c r="F50" s="11" t="n">
        <f aca="false">IF(F$2&gt;Inputs!$C$55,MIN(Inputs!$C$62,F48+F49),0)</f>
        <v>0</v>
      </c>
      <c r="G50" s="11" t="n">
        <f aca="false">IF(G$2&gt;Inputs!$C$55,MIN(Inputs!$C$62,G48+G49),0)</f>
        <v>0</v>
      </c>
      <c r="H50" s="11" t="n">
        <f aca="false">IF(H$2&gt;Inputs!$C$55,MIN(Inputs!$C$62,H48+H49),0)</f>
        <v>2698.69993551094</v>
      </c>
      <c r="I50" s="11" t="n">
        <f aca="false">IF(I$2&gt;Inputs!$C$55,MIN(Inputs!$C$62,I48+I49),0)</f>
        <v>2698.69993551094</v>
      </c>
      <c r="J50" s="11" t="n">
        <f aca="false">IF(J$2&gt;Inputs!$C$55,MIN(Inputs!$C$62,J48+J49),0)</f>
        <v>2698.69993551094</v>
      </c>
      <c r="K50" s="11" t="n">
        <f aca="false">IF(K$2&gt;Inputs!$C$55,MIN(Inputs!$C$62,K48+K49),0)</f>
        <v>2698.69993551094</v>
      </c>
      <c r="L50" s="11" t="n">
        <f aca="false">IF(L$2&gt;Inputs!$C$55,MIN(Inputs!$C$62,L48+L49),0)</f>
        <v>2698.69993551094</v>
      </c>
      <c r="M50" s="11" t="n">
        <f aca="false">IF(M$2&gt;Inputs!$C$55,MIN(Inputs!$C$62,M48+M49),0)</f>
        <v>2698.69993551094</v>
      </c>
      <c r="N50" s="11" t="n">
        <f aca="false">IF(N$2&gt;Inputs!$C$55,MIN(Inputs!$C$62,N48+N49),0)</f>
        <v>2698.69993551094</v>
      </c>
      <c r="O50" s="11" t="n">
        <f aca="false">IF(O$2&gt;Inputs!$C$55,MIN(Inputs!$C$62,O48+O49),0)</f>
        <v>2698.69993551094</v>
      </c>
      <c r="P50" s="11" t="n">
        <f aca="false">IF(P$2&gt;Inputs!$C$55,MIN(Inputs!$C$62,P48+P49),0)</f>
        <v>2698.69993551094</v>
      </c>
      <c r="Q50" s="11" t="n">
        <f aca="false">IF(Q$2&gt;Inputs!$C$55,MIN(Inputs!$C$62,Q48+Q49),0)</f>
        <v>2698.69993551094</v>
      </c>
      <c r="R50" s="11" t="n">
        <f aca="false">IF(R$2&gt;Inputs!$C$55,MIN(Inputs!$C$62,R48+R49),0)</f>
        <v>2698.69993551094</v>
      </c>
      <c r="S50" s="11" t="n">
        <f aca="false">IF(S$2&gt;Inputs!$C$55,MIN(Inputs!$C$62,S48+S49),0)</f>
        <v>2698.69993551094</v>
      </c>
      <c r="T50" s="11" t="n">
        <f aca="false">IF(T$2&gt;Inputs!$C$55,MIN(Inputs!$C$62,T48+T49),0)</f>
        <v>2698.69993551094</v>
      </c>
      <c r="U50" s="11" t="n">
        <f aca="false">IF(U$2&gt;Inputs!$C$55,MIN(Inputs!$C$62,U48+U49),0)</f>
        <v>2698.69993551094</v>
      </c>
      <c r="V50" s="11" t="n">
        <f aca="false">IF(V$2&gt;Inputs!$C$55,MIN(Inputs!$C$62,V48+V49),0)</f>
        <v>2698.69993551094</v>
      </c>
      <c r="W50" s="11" t="n">
        <f aca="false">IF(W$2&gt;Inputs!$C$55,MIN(Inputs!$C$62,W48+W49),0)</f>
        <v>2698.69993551094</v>
      </c>
      <c r="X50" s="11" t="n">
        <f aca="false">IF(X$2&gt;Inputs!$C$55,MIN(Inputs!$C$62,X48+X49),0)</f>
        <v>2698.69993551094</v>
      </c>
      <c r="Y50" s="11" t="n">
        <f aca="false">IF(Y$2&gt;Inputs!$C$55,MIN(Inputs!$C$62,Y48+Y49),0)</f>
        <v>2698.69993551094</v>
      </c>
      <c r="Z50" s="11" t="n">
        <f aca="false">IF(Z$2&gt;Inputs!$C$55,MIN(Inputs!$C$62,Z48+Z49),0)</f>
        <v>2698.69993551094</v>
      </c>
      <c r="AA50" s="11" t="n">
        <f aca="false">IF(AA$2&gt;Inputs!$C$55,MIN(Inputs!$C$62,AA48+AA49),0)</f>
        <v>2698.69993551094</v>
      </c>
      <c r="AB50" s="11" t="n">
        <f aca="false">IF(AB$2&gt;Inputs!$C$55,MIN(Inputs!$C$62,AB48+AB49),0)</f>
        <v>2698.69993551094</v>
      </c>
      <c r="AC50" s="11" t="n">
        <f aca="false">IF(AC$2&gt;Inputs!$C$55,MIN(Inputs!$C$62,AC48+AC49),0)</f>
        <v>2698.69993551094</v>
      </c>
      <c r="AD50" s="11" t="n">
        <f aca="false">IF(AD$2&gt;Inputs!$C$55,MIN(Inputs!$C$62,AD48+AD49),0)</f>
        <v>2698.69993551094</v>
      </c>
      <c r="AE50" s="11" t="n">
        <f aca="false">IF(AE$2&gt;Inputs!$C$55,MIN(Inputs!$C$62,AE48+AE49),0)</f>
        <v>2698.69993551094</v>
      </c>
      <c r="AF50" s="11" t="n">
        <f aca="false">IF(AF$2&gt;Inputs!$C$55,MIN(Inputs!$C$62,AF48+AF49),0)</f>
        <v>2698.69993551094</v>
      </c>
      <c r="AG50" s="11" t="n">
        <f aca="false">IF(AG$2&gt;Inputs!$C$55,MIN(Inputs!$C$62,AG48+AG49),0)</f>
        <v>2698.69993551094</v>
      </c>
      <c r="AH50" s="11" t="n">
        <f aca="false">IF(AH$2&gt;Inputs!$C$55,MIN(Inputs!$C$62,AH48+AH49),0)</f>
        <v>2698.69993551094</v>
      </c>
      <c r="AI50" s="11" t="n">
        <f aca="false">IF(AI$2&gt;Inputs!$C$55,MIN(Inputs!$C$62,AI48+AI49),0)</f>
        <v>2698.69993551094</v>
      </c>
      <c r="AJ50" s="11" t="n">
        <f aca="false">IF(AJ$2&gt;Inputs!$C$55,MIN(Inputs!$C$62,AJ48+AJ49),0)</f>
        <v>2698.69993551094</v>
      </c>
      <c r="AK50" s="11" t="n">
        <f aca="false">IF(AK$2&gt;Inputs!$C$55,MIN(Inputs!$C$62,AK48+AK49),0)</f>
        <v>2698.69993551094</v>
      </c>
      <c r="AL50" s="11" t="n">
        <f aca="false">IF(AL$2&gt;Inputs!$C$55,MIN(Inputs!$C$62,AL48+AL49),0)</f>
        <v>2698.69993551094</v>
      </c>
    </row>
    <row r="51" customFormat="false" ht="15" hidden="false" customHeight="false" outlineLevel="0" collapsed="false">
      <c r="A51" s="2" t="s">
        <v>233</v>
      </c>
      <c r="B51" s="4"/>
      <c r="C51" s="11" t="n">
        <f aca="false">C48+C46+C49-C50</f>
        <v>0</v>
      </c>
      <c r="D51" s="11" t="n">
        <f aca="false">D48+D46+D49-D50</f>
        <v>0</v>
      </c>
      <c r="E51" s="11" t="n">
        <f aca="false">E48+E46+E49-E50</f>
        <v>0</v>
      </c>
      <c r="F51" s="11" t="n">
        <f aca="false">F48+F46+F49-F50</f>
        <v>0</v>
      </c>
      <c r="G51" s="11" t="n">
        <f aca="false">G48+G46+G49-G50</f>
        <v>200000</v>
      </c>
      <c r="H51" s="11" t="n">
        <f aca="false">H48+H46+H49-H50</f>
        <v>199051.300064489</v>
      </c>
      <c r="I51" s="11" t="n">
        <f aca="false">I48+I46+I49-I50</f>
        <v>198094.299004542</v>
      </c>
      <c r="J51" s="11" t="n">
        <f aca="false">J48+J46+J49-J50</f>
        <v>197128.924185321</v>
      </c>
      <c r="K51" s="11" t="n">
        <f aca="false">K48+K46+K49-K50</f>
        <v>196155.102336432</v>
      </c>
      <c r="L51" s="11" t="n">
        <f aca="false">L48+L46+L49-L50</f>
        <v>195172.759546365</v>
      </c>
      <c r="M51" s="11" t="n">
        <f aca="false">M48+M46+M49-M50</f>
        <v>194181.821256885</v>
      </c>
      <c r="N51" s="11" t="n">
        <f aca="false">N48+N46+N49-N50</f>
        <v>193182.212257371</v>
      </c>
      <c r="O51" s="11" t="n">
        <f aca="false">O48+O46+O49-O50</f>
        <v>192173.856679112</v>
      </c>
      <c r="P51" s="11" t="n">
        <f aca="false">P48+P46+P49-P50</f>
        <v>191156.677989544</v>
      </c>
      <c r="Q51" s="11" t="n">
        <f aca="false">Q48+Q46+Q49-Q50</f>
        <v>190130.598986441</v>
      </c>
      <c r="R51" s="11" t="n">
        <f aca="false">R48+R46+R49-R50</f>
        <v>189095.541792062</v>
      </c>
      <c r="S51" s="11" t="n">
        <f aca="false">S48+S46+S49-S50</f>
        <v>188051.427847231</v>
      </c>
      <c r="T51" s="11" t="n">
        <f aca="false">T48+T46+T49-T50</f>
        <v>186998.177905384</v>
      </c>
      <c r="U51" s="11" t="n">
        <f aca="false">U48+U46+U49-U50</f>
        <v>185935.712026545</v>
      </c>
      <c r="V51" s="11" t="n">
        <f aca="false">V48+V46+V49-V50</f>
        <v>184863.949571266</v>
      </c>
      <c r="W51" s="11" t="n">
        <f aca="false">W48+W46+W49-W50</f>
        <v>183782.809194504</v>
      </c>
      <c r="X51" s="11" t="n">
        <f aca="false">X48+X46+X49-X50</f>
        <v>182692.208839445</v>
      </c>
      <c r="Y51" s="11" t="n">
        <f aca="false">Y48+Y46+Y49-Y50</f>
        <v>181592.065731279</v>
      </c>
      <c r="Z51" s="11" t="n">
        <f aca="false">Z48+Z46+Z49-Z50</f>
        <v>180482.296370917</v>
      </c>
      <c r="AA51" s="11" t="n">
        <f aca="false">AA48+AA46+AA49-AA50</f>
        <v>179362.816528651</v>
      </c>
      <c r="AB51" s="11" t="n">
        <f aca="false">AB48+AB46+AB49-AB50</f>
        <v>178233.541237766</v>
      </c>
      <c r="AC51" s="11" t="n">
        <f aca="false">AC48+AC46+AC49-AC50</f>
        <v>177094.384788086</v>
      </c>
      <c r="AD51" s="11" t="n">
        <f aca="false">AD48+AD46+AD49-AD50</f>
        <v>175945.260719471</v>
      </c>
      <c r="AE51" s="11" t="n">
        <f aca="false">AE48+AE46+AE49-AE50</f>
        <v>174786.081815255</v>
      </c>
      <c r="AF51" s="11" t="n">
        <f aca="false">AF48+AF46+AF49-AF50</f>
        <v>173616.760095627</v>
      </c>
      <c r="AG51" s="11" t="n">
        <f aca="false">AG48+AG46+AG49-AG50</f>
        <v>172437.206810953</v>
      </c>
      <c r="AH51" s="11" t="n">
        <f aca="false">AH48+AH46+AH49-AH50</f>
        <v>171247.332435038</v>
      </c>
      <c r="AI51" s="11" t="n">
        <f aca="false">AI48+AI46+AI49-AI50</f>
        <v>170047.046658334</v>
      </c>
      <c r="AJ51" s="11" t="n">
        <f aca="false">AJ48+AJ46+AJ49-AJ50</f>
        <v>168836.258381083</v>
      </c>
      <c r="AK51" s="11" t="n">
        <f aca="false">AK48+AK46+AK49-AK50</f>
        <v>167614.875706407</v>
      </c>
      <c r="AL51" s="11" t="n">
        <f aca="false">AL48+AL46+AL49-AL50</f>
        <v>166382.805933327</v>
      </c>
    </row>
    <row r="52" customFormat="false" ht="15" hidden="false" customHeight="false" outlineLevel="0" collapsed="false">
      <c r="A52" s="2" t="s">
        <v>234</v>
      </c>
      <c r="B52" s="4"/>
      <c r="C52" s="11" t="n">
        <f aca="false">C41-C44+C45+C46+C47-C50</f>
        <v>-52746.1666666667</v>
      </c>
      <c r="D52" s="11" t="n">
        <f aca="false">D41-D44+D45+D46+D47-D50</f>
        <v>-17746.1666666667</v>
      </c>
      <c r="E52" s="11" t="n">
        <f aca="false">E41-E44+E45+E46+E47-E50</f>
        <v>-4506.16666666667</v>
      </c>
      <c r="F52" s="11" t="n">
        <f aca="false">F41-F44+F45+F46+F47-F50</f>
        <v>-11086.1666666667</v>
      </c>
      <c r="G52" s="11" t="n">
        <f aca="false">G41-G44+G45+G46+G47-G50</f>
        <v>401664.883333333</v>
      </c>
      <c r="H52" s="11" t="n">
        <f aca="false">H41-H44+H45+H46+H47-H50</f>
        <v>-11596.8916021776</v>
      </c>
      <c r="I52" s="11" t="n">
        <f aca="false">I41-I44+I45+I46+I47-I50</f>
        <v>-11596.8916021776</v>
      </c>
      <c r="J52" s="11" t="n">
        <f aca="false">J41-J44+J45+J46+J47-J50</f>
        <v>1599.13339782239</v>
      </c>
      <c r="K52" s="11" t="n">
        <f aca="false">K41-K44+K45+K46+K47-K50</f>
        <v>-9408.91660217761</v>
      </c>
      <c r="L52" s="11" t="n">
        <f aca="false">L41-L44+L45+L46+L47-L50</f>
        <v>-16283.9166021776</v>
      </c>
      <c r="M52" s="11" t="n">
        <f aca="false">M41-M44+M45+M46+M47-M50</f>
        <v>-3087.89160217761</v>
      </c>
      <c r="N52" s="11" t="n">
        <f aca="false">N41-N44+N45+N46+N47-N50</f>
        <v>-14095.9416021776</v>
      </c>
      <c r="O52" s="11" t="n">
        <f aca="false">O41-O44+O45+O46+O47-O50</f>
        <v>-12163.6870188443</v>
      </c>
      <c r="P52" s="11" t="n">
        <f aca="false">P41-P44+P45+P46+P47-P50</f>
        <v>-11696.4632688443</v>
      </c>
      <c r="Q52" s="11" t="n">
        <f aca="false">Q41-Q44+Q45+Q46+Q47-Q50</f>
        <v>1054.58673115572</v>
      </c>
      <c r="R52" s="11" t="n">
        <f aca="false">R41-R44+R45+R46+R47-R50</f>
        <v>-9866.31326884428</v>
      </c>
      <c r="S52" s="11" t="n">
        <f aca="false">S41-S44+S45+S46+S47-S50</f>
        <v>2884.73673115572</v>
      </c>
      <c r="T52" s="11" t="n">
        <f aca="false">T41-T44+T45+T46+T47-T50</f>
        <v>-7568.93951884428</v>
      </c>
      <c r="U52" s="11" t="n">
        <f aca="false">U41-U44+U45+U46+U47-U50</f>
        <v>5182.11048115572</v>
      </c>
      <c r="V52" s="11" t="n">
        <f aca="false">V41-V44+V45+V46+V47-V50</f>
        <v>-5271.56576884428</v>
      </c>
      <c r="W52" s="11" t="n">
        <f aca="false">W41-W44+W45+W46+W47-W50</f>
        <v>7479.48423115573</v>
      </c>
      <c r="X52" s="11" t="n">
        <f aca="false">X41-X44+X45+X46+X47-X50</f>
        <v>9776.85798115573</v>
      </c>
      <c r="Y52" s="11" t="n">
        <f aca="false">Y41-Y44+Y45+Y46+Y47-Y50</f>
        <v>-1144.04201884428</v>
      </c>
      <c r="Z52" s="11" t="n">
        <f aca="false">Z41-Z44+Z45+Z46+Z47-Z50</f>
        <v>3949.23173115572</v>
      </c>
      <c r="AA52" s="11" t="n">
        <f aca="false">AA41-AA44+AA45+AA46+AA47-AA50</f>
        <v>4363.18200198906</v>
      </c>
      <c r="AB52" s="11" t="n">
        <f aca="false">AB41-AB44+AB45+AB46+AB47-AB50</f>
        <v>-6466.21049801094</v>
      </c>
      <c r="AC52" s="11" t="n">
        <f aca="false">AC41-AC44+AC45+AC46+AC47-AC50</f>
        <v>6775.42443948906</v>
      </c>
      <c r="AD52" s="11" t="n">
        <f aca="false">AD41-AD44+AD45+AD46+AD47-AD50</f>
        <v>9187.66687698906</v>
      </c>
      <c r="AE52" s="11" t="n">
        <f aca="false">AE41-AE44+AE45+AE46+AE47-AE50</f>
        <v>-1641.72562301094</v>
      </c>
      <c r="AF52" s="11" t="n">
        <f aca="false">AF41-AF44+AF45+AF46+AF47-AF50</f>
        <v>11599.9093144891</v>
      </c>
      <c r="AG52" s="11" t="n">
        <f aca="false">AG41-AG44+AG45+AG46+AG47-AG50</f>
        <v>14012.1517519891</v>
      </c>
      <c r="AH52" s="11" t="n">
        <f aca="false">AH41-AH44+AH45+AH46+AH47-AH50</f>
        <v>15933.8092519891</v>
      </c>
      <c r="AI52" s="11" t="n">
        <f aca="false">AI41-AI44+AI45+AI46+AI47-AI50</f>
        <v>5595.00168948905</v>
      </c>
      <c r="AJ52" s="11" t="n">
        <f aca="false">AJ41-AJ44+AJ45+AJ46+AJ47-AJ50</f>
        <v>18836.6366269891</v>
      </c>
      <c r="AK52" s="11" t="n">
        <f aca="false">AK41-AK44+AK45+AK46+AK47-AK50</f>
        <v>21248.8790644891</v>
      </c>
      <c r="AL52" s="11" t="n">
        <f aca="false">AL41-AL44+AL45+AL46+AL47-AL50</f>
        <v>23170.5365644891</v>
      </c>
    </row>
    <row r="53" customFormat="false" ht="15" hidden="false" customHeight="false" outlineLevel="0" collapsed="false">
      <c r="A53" s="3" t="s">
        <v>235</v>
      </c>
      <c r="B53" s="4"/>
      <c r="C53" s="11" t="n">
        <f aca="false">0+C52</f>
        <v>-52746.1666666667</v>
      </c>
      <c r="D53" s="11" t="n">
        <f aca="false">C53+D52</f>
        <v>-70492.3333333333</v>
      </c>
      <c r="E53" s="11" t="n">
        <f aca="false">D53+E52</f>
        <v>-74998.5</v>
      </c>
      <c r="F53" s="11" t="n">
        <f aca="false">E53+F52</f>
        <v>-86084.6666666667</v>
      </c>
      <c r="G53" s="11" t="n">
        <f aca="false">F53+G52</f>
        <v>315580.216666667</v>
      </c>
      <c r="H53" s="11" t="n">
        <f aca="false">G53+H52</f>
        <v>303983.325064489</v>
      </c>
      <c r="I53" s="11" t="n">
        <f aca="false">H53+I52</f>
        <v>292386.433462311</v>
      </c>
      <c r="J53" s="11" t="n">
        <f aca="false">I53+J52</f>
        <v>293985.566860134</v>
      </c>
      <c r="K53" s="11" t="n">
        <f aca="false">J53+K52</f>
        <v>284576.650257956</v>
      </c>
      <c r="L53" s="11" t="n">
        <f aca="false">K53+L52</f>
        <v>268292.733655779</v>
      </c>
      <c r="M53" s="11" t="n">
        <f aca="false">L53+M52</f>
        <v>265204.842053601</v>
      </c>
      <c r="N53" s="11" t="n">
        <f aca="false">M53+N52</f>
        <v>251108.900451423</v>
      </c>
      <c r="O53" s="11" t="n">
        <f aca="false">N53+O52</f>
        <v>238945.213432579</v>
      </c>
      <c r="P53" s="11" t="n">
        <f aca="false">O53+P52</f>
        <v>227248.750163735</v>
      </c>
      <c r="Q53" s="11" t="n">
        <f aca="false">P53+Q52</f>
        <v>228303.336894891</v>
      </c>
      <c r="R53" s="11" t="n">
        <f aca="false">Q53+R52</f>
        <v>218437.023626046</v>
      </c>
      <c r="S53" s="11" t="n">
        <f aca="false">R53+S52</f>
        <v>221321.760357202</v>
      </c>
      <c r="T53" s="11" t="n">
        <f aca="false">S53+T52</f>
        <v>213752.820838358</v>
      </c>
      <c r="U53" s="11" t="n">
        <f aca="false">T53+U52</f>
        <v>218934.931319514</v>
      </c>
      <c r="V53" s="11" t="n">
        <f aca="false">U53+V52</f>
        <v>213663.365550669</v>
      </c>
      <c r="W53" s="11" t="n">
        <f aca="false">V53+W52</f>
        <v>221142.849781825</v>
      </c>
      <c r="X53" s="11" t="n">
        <f aca="false">W53+X52</f>
        <v>230919.707762981</v>
      </c>
      <c r="Y53" s="11" t="n">
        <f aca="false">X53+Y52</f>
        <v>229775.665744136</v>
      </c>
      <c r="Z53" s="11" t="n">
        <f aca="false">Y53+Z52</f>
        <v>233724.897475292</v>
      </c>
      <c r="AA53" s="11" t="n">
        <f aca="false">Z53+AA52</f>
        <v>238088.079477281</v>
      </c>
      <c r="AB53" s="11" t="n">
        <f aca="false">AA53+AB52</f>
        <v>231621.86897927</v>
      </c>
      <c r="AC53" s="11" t="n">
        <f aca="false">AB53+AC52</f>
        <v>238397.293418759</v>
      </c>
      <c r="AD53" s="11" t="n">
        <f aca="false">AC53+AD52</f>
        <v>247584.960295748</v>
      </c>
      <c r="AE53" s="11" t="n">
        <f aca="false">AD53+AE52</f>
        <v>245943.234672737</v>
      </c>
      <c r="AF53" s="11" t="n">
        <f aca="false">AE53+AF52</f>
        <v>257543.143987227</v>
      </c>
      <c r="AG53" s="11" t="n">
        <f aca="false">AF53+AG52</f>
        <v>271555.295739216</v>
      </c>
      <c r="AH53" s="11" t="n">
        <f aca="false">AG53+AH52</f>
        <v>287489.104991205</v>
      </c>
      <c r="AI53" s="11" t="n">
        <f aca="false">AH53+AI52</f>
        <v>293084.106680694</v>
      </c>
      <c r="AJ53" s="11" t="n">
        <f aca="false">AI53+AJ52</f>
        <v>311920.743307683</v>
      </c>
      <c r="AK53" s="11" t="n">
        <f aca="false">AJ53+AK52</f>
        <v>333169.622372172</v>
      </c>
      <c r="AL53" s="11" t="n">
        <f aca="false">AK53+AL52</f>
        <v>356340.158936661</v>
      </c>
    </row>
    <row r="54" customFormat="false" ht="15" hidden="false" customHeight="false" outlineLevel="0" collapsed="false">
      <c r="A54" s="2" t="s">
        <v>236</v>
      </c>
      <c r="B54" s="4"/>
      <c r="C54" s="11" t="n">
        <f aca="false">0+C41-C44-C50</f>
        <v>-52746.1666666667</v>
      </c>
      <c r="D54" s="11" t="n">
        <f aca="false">C54+D41-D44-D50</f>
        <v>-70492.3333333333</v>
      </c>
      <c r="E54" s="11" t="n">
        <f aca="false">D54+E41-E44-E50</f>
        <v>-74998.5</v>
      </c>
      <c r="F54" s="11" t="n">
        <f aca="false">E54+F41-F44-F50</f>
        <v>-86084.6666666667</v>
      </c>
      <c r="G54" s="11" t="n">
        <f aca="false">F54+G41-G44-G50</f>
        <v>-84419.7833333334</v>
      </c>
      <c r="H54" s="11" t="n">
        <f aca="false">G54+H41-H44-H50</f>
        <v>-96016.674935511</v>
      </c>
      <c r="I54" s="11" t="n">
        <f aca="false">H54+I41-I44-I50</f>
        <v>-107613.566537689</v>
      </c>
      <c r="J54" s="11" t="n">
        <f aca="false">I54+J41-J44-J50</f>
        <v>-106014.433139866</v>
      </c>
      <c r="K54" s="11" t="n">
        <f aca="false">J54+K41-K44-K50</f>
        <v>-115423.349742044</v>
      </c>
      <c r="L54" s="11" t="n">
        <f aca="false">K54+L41-L44-L50</f>
        <v>-131707.266344221</v>
      </c>
      <c r="M54" s="11" t="n">
        <f aca="false">L54+M41-M44-M50</f>
        <v>-134795.157946399</v>
      </c>
      <c r="N54" s="11" t="n">
        <f aca="false">M54+N41-N44-N50</f>
        <v>-148891.099548577</v>
      </c>
      <c r="O54" s="11" t="n">
        <f aca="false">N54+O41-O44-O50</f>
        <v>-161054.786567421</v>
      </c>
      <c r="P54" s="11" t="n">
        <f aca="false">O54+P41-P44-P50</f>
        <v>-172751.249836265</v>
      </c>
      <c r="Q54" s="11" t="n">
        <f aca="false">P54+Q41-Q44-Q50</f>
        <v>-171696.663105109</v>
      </c>
      <c r="R54" s="11" t="n">
        <f aca="false">Q54+R41-R44-R50</f>
        <v>-181562.976373954</v>
      </c>
      <c r="S54" s="11" t="n">
        <f aca="false">R54+S41-S44-S50</f>
        <v>-178678.239642798</v>
      </c>
      <c r="T54" s="11" t="n">
        <f aca="false">S54+T41-T44-T50</f>
        <v>-186247.179161642</v>
      </c>
      <c r="U54" s="11" t="n">
        <f aca="false">T54+U41-U44-U50</f>
        <v>-181065.068680487</v>
      </c>
      <c r="V54" s="11" t="n">
        <f aca="false">U54+V41-V44-V50</f>
        <v>-186336.634449331</v>
      </c>
      <c r="W54" s="11" t="n">
        <f aca="false">V54+W41-W44-W50</f>
        <v>-178857.150218175</v>
      </c>
      <c r="X54" s="11" t="n">
        <f aca="false">W54+X41-X44-X50</f>
        <v>-169080.292237019</v>
      </c>
      <c r="Y54" s="11" t="n">
        <f aca="false">X54+Y41-Y44-Y50</f>
        <v>-170224.334255864</v>
      </c>
      <c r="Z54" s="11" t="n">
        <f aca="false">Y54+Z41-Z44-Z50</f>
        <v>-166275.102524708</v>
      </c>
      <c r="AA54" s="11" t="n">
        <f aca="false">Z54+AA41-AA44-AA50</f>
        <v>-161911.920522719</v>
      </c>
      <c r="AB54" s="11" t="n">
        <f aca="false">AA54+AB41-AB44-AB50</f>
        <v>-168378.13102073</v>
      </c>
      <c r="AC54" s="11" t="n">
        <f aca="false">AB54+AC41-AC44-AC50</f>
        <v>-161602.706581241</v>
      </c>
      <c r="AD54" s="11" t="n">
        <f aca="false">AC54+AD41-AD44-AD50</f>
        <v>-152415.039704252</v>
      </c>
      <c r="AE54" s="11" t="n">
        <f aca="false">AD54+AE41-AE44-AE50</f>
        <v>-154056.765327263</v>
      </c>
      <c r="AF54" s="11" t="n">
        <f aca="false">AE54+AF41-AF44-AF50</f>
        <v>-142456.856012773</v>
      </c>
      <c r="AG54" s="11" t="n">
        <f aca="false">AF54+AG41-AG44-AG50</f>
        <v>-128444.704260784</v>
      </c>
      <c r="AH54" s="11" t="n">
        <f aca="false">AG54+AH41-AH44-AH50</f>
        <v>-112510.895008795</v>
      </c>
      <c r="AI54" s="11" t="n">
        <f aca="false">AH54+AI41-AI44-AI50</f>
        <v>-106915.893319306</v>
      </c>
      <c r="AJ54" s="11" t="n">
        <f aca="false">AI54+AJ41-AJ44-AJ50</f>
        <v>-88079.2566923172</v>
      </c>
      <c r="AK54" s="11" t="n">
        <f aca="false">AJ54+AK41-AK44-AK50</f>
        <v>-66830.3776278281</v>
      </c>
      <c r="AL54" s="11" t="n">
        <f aca="false">AK54+AL41-AL44-AL50</f>
        <v>-43659.8410633391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38" min="3" style="0" width="11"/>
  </cols>
  <sheetData>
    <row r="1" customFormat="false" ht="17.35" hidden="false" customHeight="false" outlineLevel="0" collapsed="false">
      <c r="A1" s="1" t="s">
        <v>237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customFormat="false" ht="15" hidden="false" customHeight="false" outlineLevel="0" collapsed="false">
      <c r="A2" s="3" t="s">
        <v>190</v>
      </c>
      <c r="B2" s="4"/>
      <c r="C2" s="22" t="n">
        <v>1</v>
      </c>
      <c r="D2" s="22" t="n">
        <v>2</v>
      </c>
      <c r="E2" s="22" t="n">
        <v>3</v>
      </c>
      <c r="F2" s="22" t="n">
        <v>4</v>
      </c>
      <c r="G2" s="22" t="n">
        <v>5</v>
      </c>
      <c r="H2" s="22" t="n">
        <v>6</v>
      </c>
      <c r="I2" s="22" t="n">
        <v>7</v>
      </c>
      <c r="J2" s="22" t="n">
        <v>8</v>
      </c>
      <c r="K2" s="22" t="n">
        <v>9</v>
      </c>
      <c r="L2" s="22" t="n">
        <v>10</v>
      </c>
      <c r="M2" s="22" t="n">
        <v>11</v>
      </c>
      <c r="N2" s="22" t="n">
        <v>12</v>
      </c>
      <c r="O2" s="22" t="n">
        <v>13</v>
      </c>
      <c r="P2" s="22" t="n">
        <v>14</v>
      </c>
      <c r="Q2" s="22" t="n">
        <v>15</v>
      </c>
      <c r="R2" s="22" t="n">
        <v>16</v>
      </c>
      <c r="S2" s="22" t="n">
        <v>17</v>
      </c>
      <c r="T2" s="22" t="n">
        <v>18</v>
      </c>
      <c r="U2" s="22" t="n">
        <v>19</v>
      </c>
      <c r="V2" s="22" t="n">
        <v>20</v>
      </c>
      <c r="W2" s="22" t="n">
        <v>21</v>
      </c>
      <c r="X2" s="22" t="n">
        <v>22</v>
      </c>
      <c r="Y2" s="22" t="n">
        <v>23</v>
      </c>
      <c r="Z2" s="22" t="n">
        <v>24</v>
      </c>
      <c r="AA2" s="22" t="n">
        <v>25</v>
      </c>
      <c r="AB2" s="22" t="n">
        <v>26</v>
      </c>
      <c r="AC2" s="22" t="n">
        <v>27</v>
      </c>
      <c r="AD2" s="22" t="n">
        <v>28</v>
      </c>
      <c r="AE2" s="22" t="n">
        <v>29</v>
      </c>
      <c r="AF2" s="22" t="n">
        <v>30</v>
      </c>
      <c r="AG2" s="22" t="n">
        <v>31</v>
      </c>
      <c r="AH2" s="22" t="n">
        <v>32</v>
      </c>
      <c r="AI2" s="22" t="n">
        <v>33</v>
      </c>
      <c r="AJ2" s="22" t="n">
        <v>34</v>
      </c>
      <c r="AK2" s="22" t="n">
        <v>35</v>
      </c>
      <c r="AL2" s="22" t="n">
        <v>36</v>
      </c>
    </row>
    <row r="3" customFormat="false" ht="15" hidden="false" customHeight="false" outlineLevel="0" collapsed="false">
      <c r="A3" s="3" t="s">
        <v>191</v>
      </c>
      <c r="B3" s="4"/>
      <c r="C3" s="2" t="n">
        <f aca="false">ROUNDUP(C2/12,0)</f>
        <v>1</v>
      </c>
      <c r="D3" s="2" t="n">
        <f aca="false">ROUNDUP(D2/12,0)</f>
        <v>1</v>
      </c>
      <c r="E3" s="2" t="n">
        <f aca="false">ROUNDUP(E2/12,0)</f>
        <v>1</v>
      </c>
      <c r="F3" s="2" t="n">
        <f aca="false">ROUNDUP(F2/12,0)</f>
        <v>1</v>
      </c>
      <c r="G3" s="2" t="n">
        <f aca="false">ROUNDUP(G2/12,0)</f>
        <v>1</v>
      </c>
      <c r="H3" s="2" t="n">
        <f aca="false">ROUNDUP(H2/12,0)</f>
        <v>1</v>
      </c>
      <c r="I3" s="2" t="n">
        <f aca="false">ROUNDUP(I2/12,0)</f>
        <v>1</v>
      </c>
      <c r="J3" s="2" t="n">
        <f aca="false">ROUNDUP(J2/12,0)</f>
        <v>1</v>
      </c>
      <c r="K3" s="2" t="n">
        <f aca="false">ROUNDUP(K2/12,0)</f>
        <v>1</v>
      </c>
      <c r="L3" s="2" t="n">
        <f aca="false">ROUNDUP(L2/12,0)</f>
        <v>1</v>
      </c>
      <c r="M3" s="2" t="n">
        <f aca="false">ROUNDUP(M2/12,0)</f>
        <v>1</v>
      </c>
      <c r="N3" s="2" t="n">
        <f aca="false">ROUNDUP(N2/12,0)</f>
        <v>1</v>
      </c>
      <c r="O3" s="2" t="n">
        <f aca="false">ROUNDUP(O2/12,0)</f>
        <v>2</v>
      </c>
      <c r="P3" s="2" t="n">
        <f aca="false">ROUNDUP(P2/12,0)</f>
        <v>2</v>
      </c>
      <c r="Q3" s="2" t="n">
        <f aca="false">ROUNDUP(Q2/12,0)</f>
        <v>2</v>
      </c>
      <c r="R3" s="2" t="n">
        <f aca="false">ROUNDUP(R2/12,0)</f>
        <v>2</v>
      </c>
      <c r="S3" s="2" t="n">
        <f aca="false">ROUNDUP(S2/12,0)</f>
        <v>2</v>
      </c>
      <c r="T3" s="2" t="n">
        <f aca="false">ROUNDUP(T2/12,0)</f>
        <v>2</v>
      </c>
      <c r="U3" s="2" t="n">
        <f aca="false">ROUNDUP(U2/12,0)</f>
        <v>2</v>
      </c>
      <c r="V3" s="2" t="n">
        <f aca="false">ROUNDUP(V2/12,0)</f>
        <v>2</v>
      </c>
      <c r="W3" s="2" t="n">
        <f aca="false">ROUNDUP(W2/12,0)</f>
        <v>2</v>
      </c>
      <c r="X3" s="2" t="n">
        <f aca="false">ROUNDUP(X2/12,0)</f>
        <v>2</v>
      </c>
      <c r="Y3" s="2" t="n">
        <f aca="false">ROUNDUP(Y2/12,0)</f>
        <v>2</v>
      </c>
      <c r="Z3" s="2" t="n">
        <f aca="false">ROUNDUP(Z2/12,0)</f>
        <v>2</v>
      </c>
      <c r="AA3" s="2" t="n">
        <f aca="false">ROUNDUP(AA2/12,0)</f>
        <v>3</v>
      </c>
      <c r="AB3" s="2" t="n">
        <f aca="false">ROUNDUP(AB2/12,0)</f>
        <v>3</v>
      </c>
      <c r="AC3" s="2" t="n">
        <f aca="false">ROUNDUP(AC2/12,0)</f>
        <v>3</v>
      </c>
      <c r="AD3" s="2" t="n">
        <f aca="false">ROUNDUP(AD2/12,0)</f>
        <v>3</v>
      </c>
      <c r="AE3" s="2" t="n">
        <f aca="false">ROUNDUP(AE2/12,0)</f>
        <v>3</v>
      </c>
      <c r="AF3" s="2" t="n">
        <f aca="false">ROUNDUP(AF2/12,0)</f>
        <v>3</v>
      </c>
      <c r="AG3" s="2" t="n">
        <f aca="false">ROUNDUP(AG2/12,0)</f>
        <v>3</v>
      </c>
      <c r="AH3" s="2" t="n">
        <f aca="false">ROUNDUP(AH2/12,0)</f>
        <v>3</v>
      </c>
      <c r="AI3" s="2" t="n">
        <f aca="false">ROUNDUP(AI2/12,0)</f>
        <v>3</v>
      </c>
      <c r="AJ3" s="2" t="n">
        <f aca="false">ROUNDUP(AJ2/12,0)</f>
        <v>3</v>
      </c>
      <c r="AK3" s="2" t="n">
        <f aca="false">ROUNDUP(AK2/12,0)</f>
        <v>3</v>
      </c>
      <c r="AL3" s="2" t="n">
        <f aca="false">ROUNDUP(AL2/12,0)</f>
        <v>3</v>
      </c>
    </row>
    <row r="4" customFormat="false" ht="15" hidden="false" customHeight="false" outlineLevel="0" collapsed="false">
      <c r="A4" s="3" t="s">
        <v>192</v>
      </c>
      <c r="B4" s="4"/>
      <c r="C4" s="23" t="n">
        <f aca="false">DATE(2026,10,19)+ROUND((C2-1)*30.44,0)</f>
        <v>46314</v>
      </c>
      <c r="D4" s="23" t="n">
        <f aca="false">DATE(2026,10,19)+ROUND((D2-1)*30.44,0)</f>
        <v>46344</v>
      </c>
      <c r="E4" s="23" t="n">
        <f aca="false">DATE(2026,10,19)+ROUND((E2-1)*30.44,0)</f>
        <v>46375</v>
      </c>
      <c r="F4" s="23" t="n">
        <f aca="false">DATE(2026,10,19)+ROUND((F2-1)*30.44,0)</f>
        <v>46405</v>
      </c>
      <c r="G4" s="23" t="n">
        <f aca="false">DATE(2026,10,19)+ROUND((G2-1)*30.44,0)</f>
        <v>46436</v>
      </c>
      <c r="H4" s="23" t="n">
        <f aca="false">DATE(2026,10,19)+ROUND((H2-1)*30.44,0)</f>
        <v>46466</v>
      </c>
      <c r="I4" s="23" t="n">
        <f aca="false">DATE(2026,10,19)+ROUND((I2-1)*30.44,0)</f>
        <v>46497</v>
      </c>
      <c r="J4" s="23" t="n">
        <f aca="false">DATE(2026,10,19)+ROUND((J2-1)*30.44,0)</f>
        <v>46527</v>
      </c>
      <c r="K4" s="23" t="n">
        <f aca="false">DATE(2026,10,19)+ROUND((K2-1)*30.44,0)</f>
        <v>46558</v>
      </c>
      <c r="L4" s="23" t="n">
        <f aca="false">DATE(2026,10,19)+ROUND((L2-1)*30.44,0)</f>
        <v>46588</v>
      </c>
      <c r="M4" s="23" t="n">
        <f aca="false">DATE(2026,10,19)+ROUND((M2-1)*30.44,0)</f>
        <v>46618</v>
      </c>
      <c r="N4" s="23" t="n">
        <f aca="false">DATE(2026,10,19)+ROUND((N2-1)*30.44,0)</f>
        <v>46649</v>
      </c>
      <c r="O4" s="23" t="n">
        <f aca="false">DATE(2026,10,19)+ROUND((O2-1)*30.44,0)</f>
        <v>46679</v>
      </c>
      <c r="P4" s="23" t="n">
        <f aca="false">DATE(2026,10,19)+ROUND((P2-1)*30.44,0)</f>
        <v>46710</v>
      </c>
      <c r="Q4" s="23" t="n">
        <f aca="false">DATE(2026,10,19)+ROUND((Q2-1)*30.44,0)</f>
        <v>46740</v>
      </c>
      <c r="R4" s="23" t="n">
        <f aca="false">DATE(2026,10,19)+ROUND((R2-1)*30.44,0)</f>
        <v>46771</v>
      </c>
      <c r="S4" s="23" t="n">
        <f aca="false">DATE(2026,10,19)+ROUND((S2-1)*30.44,0)</f>
        <v>46801</v>
      </c>
      <c r="T4" s="23" t="n">
        <f aca="false">DATE(2026,10,19)+ROUND((T2-1)*30.44,0)</f>
        <v>46831</v>
      </c>
      <c r="U4" s="23" t="n">
        <f aca="false">DATE(2026,10,19)+ROUND((U2-1)*30.44,0)</f>
        <v>46862</v>
      </c>
      <c r="V4" s="23" t="n">
        <f aca="false">DATE(2026,10,19)+ROUND((V2-1)*30.44,0)</f>
        <v>46892</v>
      </c>
      <c r="W4" s="23" t="n">
        <f aca="false">DATE(2026,10,19)+ROUND((W2-1)*30.44,0)</f>
        <v>46923</v>
      </c>
      <c r="X4" s="23" t="n">
        <f aca="false">DATE(2026,10,19)+ROUND((X2-1)*30.44,0)</f>
        <v>46953</v>
      </c>
      <c r="Y4" s="23" t="n">
        <f aca="false">DATE(2026,10,19)+ROUND((Y2-1)*30.44,0)</f>
        <v>46984</v>
      </c>
      <c r="Z4" s="23" t="n">
        <f aca="false">DATE(2026,10,19)+ROUND((Z2-1)*30.44,0)</f>
        <v>47014</v>
      </c>
      <c r="AA4" s="23" t="n">
        <f aca="false">DATE(2026,10,19)+ROUND((AA2-1)*30.44,0)</f>
        <v>47045</v>
      </c>
      <c r="AB4" s="23" t="n">
        <f aca="false">DATE(2026,10,19)+ROUND((AB2-1)*30.44,0)</f>
        <v>47075</v>
      </c>
      <c r="AC4" s="23" t="n">
        <f aca="false">DATE(2026,10,19)+ROUND((AC2-1)*30.44,0)</f>
        <v>47105</v>
      </c>
      <c r="AD4" s="23" t="n">
        <f aca="false">DATE(2026,10,19)+ROUND((AD2-1)*30.44,0)</f>
        <v>47136</v>
      </c>
      <c r="AE4" s="23" t="n">
        <f aca="false">DATE(2026,10,19)+ROUND((AE2-1)*30.44,0)</f>
        <v>47166</v>
      </c>
      <c r="AF4" s="23" t="n">
        <f aca="false">DATE(2026,10,19)+ROUND((AF2-1)*30.44,0)</f>
        <v>47197</v>
      </c>
      <c r="AG4" s="23" t="n">
        <f aca="false">DATE(2026,10,19)+ROUND((AG2-1)*30.44,0)</f>
        <v>47227</v>
      </c>
      <c r="AH4" s="23" t="n">
        <f aca="false">DATE(2026,10,19)+ROUND((AH2-1)*30.44,0)</f>
        <v>47258</v>
      </c>
      <c r="AI4" s="23" t="n">
        <f aca="false">DATE(2026,10,19)+ROUND((AI2-1)*30.44,0)</f>
        <v>47288</v>
      </c>
      <c r="AJ4" s="23" t="n">
        <f aca="false">DATE(2026,10,19)+ROUND((AJ2-1)*30.44,0)</f>
        <v>47319</v>
      </c>
      <c r="AK4" s="23" t="n">
        <f aca="false">DATE(2026,10,19)+ROUND((AK2-1)*30.44,0)</f>
        <v>47349</v>
      </c>
      <c r="AL4" s="23" t="n">
        <f aca="false">DATE(2026,10,19)+ROUND((AL2-1)*30.44,0)</f>
        <v>47379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customFormat="false" ht="15" hidden="false" customHeight="false" outlineLevel="0" collapsed="false">
      <c r="A6" s="14" t="s">
        <v>193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customFormat="false" ht="15" hidden="false" customHeight="false" outlineLevel="0" collapsed="false">
      <c r="A7" s="2" t="s">
        <v>194</v>
      </c>
      <c r="B7" s="4"/>
      <c r="C7" s="21" t="n">
        <f aca="false">IF(C$2=Inputs!$D$6,1,0)</f>
        <v>1</v>
      </c>
      <c r="D7" s="21" t="n">
        <f aca="false">IF(D$2=Inputs!$D$6,1,0)</f>
        <v>0</v>
      </c>
      <c r="E7" s="21" t="n">
        <f aca="false">IF(E$2=Inputs!$D$6,1,0)</f>
        <v>0</v>
      </c>
      <c r="F7" s="21" t="n">
        <f aca="false">IF(F$2=Inputs!$D$6,1,0)</f>
        <v>0</v>
      </c>
      <c r="G7" s="21" t="n">
        <f aca="false">IF(G$2=Inputs!$D$6,1,0)</f>
        <v>0</v>
      </c>
      <c r="H7" s="21" t="n">
        <f aca="false">IF(H$2=Inputs!$D$6,1,0)</f>
        <v>0</v>
      </c>
      <c r="I7" s="21" t="n">
        <f aca="false">IF(I$2=Inputs!$D$6,1,0)</f>
        <v>0</v>
      </c>
      <c r="J7" s="21" t="n">
        <f aca="false">IF(J$2=Inputs!$D$6,1,0)</f>
        <v>0</v>
      </c>
      <c r="K7" s="21" t="n">
        <f aca="false">IF(K$2=Inputs!$D$6,1,0)</f>
        <v>0</v>
      </c>
      <c r="L7" s="21" t="n">
        <f aca="false">IF(L$2=Inputs!$D$6,1,0)</f>
        <v>0</v>
      </c>
      <c r="M7" s="21" t="n">
        <f aca="false">IF(M$2=Inputs!$D$6,1,0)</f>
        <v>0</v>
      </c>
      <c r="N7" s="21" t="n">
        <f aca="false">IF(N$2=Inputs!$D$6,1,0)</f>
        <v>0</v>
      </c>
      <c r="O7" s="21" t="n">
        <f aca="false">IF(O$2=Inputs!$D$6,1,0)</f>
        <v>0</v>
      </c>
      <c r="P7" s="21" t="n">
        <f aca="false">IF(P$2=Inputs!$D$6,1,0)</f>
        <v>0</v>
      </c>
      <c r="Q7" s="21" t="n">
        <f aca="false">IF(Q$2=Inputs!$D$6,1,0)</f>
        <v>0</v>
      </c>
      <c r="R7" s="21" t="n">
        <f aca="false">IF(R$2=Inputs!$D$6,1,0)</f>
        <v>0</v>
      </c>
      <c r="S7" s="21" t="n">
        <f aca="false">IF(S$2=Inputs!$D$6,1,0)</f>
        <v>0</v>
      </c>
      <c r="T7" s="21" t="n">
        <f aca="false">IF(T$2=Inputs!$D$6,1,0)</f>
        <v>0</v>
      </c>
      <c r="U7" s="21" t="n">
        <f aca="false">IF(U$2=Inputs!$D$6,1,0)</f>
        <v>0</v>
      </c>
      <c r="V7" s="21" t="n">
        <f aca="false">IF(V$2=Inputs!$D$6,1,0)</f>
        <v>0</v>
      </c>
      <c r="W7" s="21" t="n">
        <f aca="false">IF(W$2=Inputs!$D$6,1,0)</f>
        <v>0</v>
      </c>
      <c r="X7" s="21" t="n">
        <f aca="false">IF(X$2=Inputs!$D$6,1,0)</f>
        <v>0</v>
      </c>
      <c r="Y7" s="21" t="n">
        <f aca="false">IF(Y$2=Inputs!$D$6,1,0)</f>
        <v>0</v>
      </c>
      <c r="Z7" s="21" t="n">
        <f aca="false">IF(Z$2=Inputs!$D$6,1,0)</f>
        <v>0</v>
      </c>
      <c r="AA7" s="21" t="n">
        <f aca="false">IF(AA$2=Inputs!$D$6,1,0)</f>
        <v>0</v>
      </c>
      <c r="AB7" s="21" t="n">
        <f aca="false">IF(AB$2=Inputs!$D$6,1,0)</f>
        <v>0</v>
      </c>
      <c r="AC7" s="21" t="n">
        <f aca="false">IF(AC$2=Inputs!$D$6,1,0)</f>
        <v>0</v>
      </c>
      <c r="AD7" s="21" t="n">
        <f aca="false">IF(AD$2=Inputs!$D$6,1,0)</f>
        <v>0</v>
      </c>
      <c r="AE7" s="21" t="n">
        <f aca="false">IF(AE$2=Inputs!$D$6,1,0)</f>
        <v>0</v>
      </c>
      <c r="AF7" s="21" t="n">
        <f aca="false">IF(AF$2=Inputs!$D$6,1,0)</f>
        <v>0</v>
      </c>
      <c r="AG7" s="21" t="n">
        <f aca="false">IF(AG$2=Inputs!$D$6,1,0)</f>
        <v>0</v>
      </c>
      <c r="AH7" s="21" t="n">
        <f aca="false">IF(AH$2=Inputs!$D$6,1,0)</f>
        <v>0</v>
      </c>
      <c r="AI7" s="21" t="n">
        <f aca="false">IF(AI$2=Inputs!$D$6,1,0)</f>
        <v>0</v>
      </c>
      <c r="AJ7" s="21" t="n">
        <f aca="false">IF(AJ$2=Inputs!$D$6,1,0)</f>
        <v>0</v>
      </c>
      <c r="AK7" s="21" t="n">
        <f aca="false">IF(AK$2=Inputs!$D$6,1,0)</f>
        <v>0</v>
      </c>
      <c r="AL7" s="21" t="n">
        <f aca="false">IF(AL$2=Inputs!$D$6,1,0)</f>
        <v>0</v>
      </c>
    </row>
    <row r="8" customFormat="false" ht="15" hidden="false" customHeight="false" outlineLevel="0" collapsed="false">
      <c r="A8" s="2" t="s">
        <v>183</v>
      </c>
      <c r="B8" s="4"/>
      <c r="C8" s="9" t="n">
        <f aca="false">Schedules!C11</f>
        <v>0</v>
      </c>
      <c r="D8" s="9" t="n">
        <f aca="false">Schedules!D11</f>
        <v>0</v>
      </c>
      <c r="E8" s="9" t="n">
        <f aca="false">Schedules!E11</f>
        <v>0</v>
      </c>
      <c r="F8" s="9" t="n">
        <f aca="false">Schedules!F11</f>
        <v>0</v>
      </c>
      <c r="G8" s="9" t="n">
        <f aca="false">Schedules!G11</f>
        <v>0</v>
      </c>
      <c r="H8" s="9" t="n">
        <f aca="false">Schedules!H11</f>
        <v>0</v>
      </c>
      <c r="I8" s="9" t="n">
        <f aca="false">Schedules!I11</f>
        <v>1</v>
      </c>
      <c r="J8" s="9" t="n">
        <f aca="false">Schedules!J11</f>
        <v>0</v>
      </c>
      <c r="K8" s="9" t="n">
        <f aca="false">Schedules!K11</f>
        <v>0</v>
      </c>
      <c r="L8" s="9" t="n">
        <f aca="false">Schedules!L11</f>
        <v>1</v>
      </c>
      <c r="M8" s="9" t="n">
        <f aca="false">Schedules!M11</f>
        <v>0</v>
      </c>
      <c r="N8" s="9" t="n">
        <f aca="false">Schedules!N11</f>
        <v>0</v>
      </c>
      <c r="O8" s="9" t="n">
        <f aca="false">Schedules!O11</f>
        <v>1</v>
      </c>
      <c r="P8" s="9" t="n">
        <f aca="false">Schedules!P11</f>
        <v>0</v>
      </c>
      <c r="Q8" s="9" t="n">
        <f aca="false">Schedules!Q11</f>
        <v>0</v>
      </c>
      <c r="R8" s="9" t="n">
        <f aca="false">Schedules!R11</f>
        <v>0</v>
      </c>
      <c r="S8" s="9" t="n">
        <f aca="false">Schedules!S11</f>
        <v>1</v>
      </c>
      <c r="T8" s="9" t="n">
        <f aca="false">Schedules!T11</f>
        <v>0</v>
      </c>
      <c r="U8" s="9" t="n">
        <f aca="false">Schedules!U11</f>
        <v>0</v>
      </c>
      <c r="V8" s="9" t="n">
        <f aca="false">Schedules!V11</f>
        <v>1</v>
      </c>
      <c r="W8" s="9" t="n">
        <f aca="false">Schedules!W11</f>
        <v>0</v>
      </c>
      <c r="X8" s="9" t="n">
        <f aca="false">Schedules!X11</f>
        <v>1</v>
      </c>
      <c r="Y8" s="9" t="n">
        <f aca="false">Schedules!Y11</f>
        <v>0</v>
      </c>
      <c r="Z8" s="9" t="n">
        <f aca="false">Schedules!Z11</f>
        <v>1</v>
      </c>
      <c r="AA8" s="9" t="n">
        <f aca="false">Schedules!AA11</f>
        <v>1</v>
      </c>
      <c r="AB8" s="9" t="n">
        <f aca="false">Schedules!AB11</f>
        <v>0</v>
      </c>
      <c r="AC8" s="9" t="n">
        <f aca="false">Schedules!AC11</f>
        <v>0</v>
      </c>
      <c r="AD8" s="9" t="n">
        <f aca="false">Schedules!AD11</f>
        <v>1</v>
      </c>
      <c r="AE8" s="9" t="n">
        <f aca="false">Schedules!AE11</f>
        <v>0</v>
      </c>
      <c r="AF8" s="9" t="n">
        <f aca="false">Schedules!AF11</f>
        <v>0</v>
      </c>
      <c r="AG8" s="9" t="n">
        <f aca="false">Schedules!AG11</f>
        <v>1</v>
      </c>
      <c r="AH8" s="9" t="n">
        <f aca="false">Schedules!AH11</f>
        <v>0</v>
      </c>
      <c r="AI8" s="9" t="n">
        <f aca="false">Schedules!AI11</f>
        <v>1</v>
      </c>
      <c r="AJ8" s="9" t="n">
        <f aca="false">Schedules!AJ11</f>
        <v>1</v>
      </c>
      <c r="AK8" s="9" t="n">
        <f aca="false">Schedules!AK11</f>
        <v>0</v>
      </c>
      <c r="AL8" s="9" t="n">
        <f aca="false">Schedules!AL11</f>
        <v>1</v>
      </c>
    </row>
    <row r="9" customFormat="false" ht="15" hidden="false" customHeight="false" outlineLevel="0" collapsed="false">
      <c r="A9" s="2" t="s">
        <v>195</v>
      </c>
      <c r="B9" s="4"/>
      <c r="C9" s="21" t="n">
        <f aca="false">IF(C$2-Inputs!$D$12&gt;=1,INDEX($C$8:$AL$8,C$2-Inputs!$D$12),0)</f>
        <v>0</v>
      </c>
      <c r="D9" s="21" t="n">
        <f aca="false">IF(D$2-Inputs!$D$12&gt;=1,INDEX($C$8:$AL$8,D$2-Inputs!$D$12),0)</f>
        <v>0</v>
      </c>
      <c r="E9" s="21" t="n">
        <f aca="false">IF(E$2-Inputs!$D$12&gt;=1,INDEX($C$8:$AL$8,E$2-Inputs!$D$12),0)</f>
        <v>0</v>
      </c>
      <c r="F9" s="21" t="n">
        <f aca="false">IF(F$2-Inputs!$D$12&gt;=1,INDEX($C$8:$AL$8,F$2-Inputs!$D$12),0)</f>
        <v>0</v>
      </c>
      <c r="G9" s="21" t="n">
        <f aca="false">IF(G$2-Inputs!$D$12&gt;=1,INDEX($C$8:$AL$8,G$2-Inputs!$D$12),0)</f>
        <v>0</v>
      </c>
      <c r="H9" s="21" t="n">
        <f aca="false">IF(H$2-Inputs!$D$12&gt;=1,INDEX($C$8:$AL$8,H$2-Inputs!$D$12),0)</f>
        <v>0</v>
      </c>
      <c r="I9" s="21" t="n">
        <f aca="false">IF(I$2-Inputs!$D$12&gt;=1,INDEX($C$8:$AL$8,I$2-Inputs!$D$12),0)</f>
        <v>0</v>
      </c>
      <c r="J9" s="21" t="n">
        <f aca="false">IF(J$2-Inputs!$D$12&gt;=1,INDEX($C$8:$AL$8,J$2-Inputs!$D$12),0)</f>
        <v>0</v>
      </c>
      <c r="K9" s="21" t="n">
        <f aca="false">IF(K$2-Inputs!$D$12&gt;=1,INDEX($C$8:$AL$8,K$2-Inputs!$D$12),0)</f>
        <v>1</v>
      </c>
      <c r="L9" s="21" t="n">
        <f aca="false">IF(L$2-Inputs!$D$12&gt;=1,INDEX($C$8:$AL$8,L$2-Inputs!$D$12),0)</f>
        <v>0</v>
      </c>
      <c r="M9" s="21" t="n">
        <f aca="false">IF(M$2-Inputs!$D$12&gt;=1,INDEX($C$8:$AL$8,M$2-Inputs!$D$12),0)</f>
        <v>0</v>
      </c>
      <c r="N9" s="21" t="n">
        <f aca="false">IF(N$2-Inputs!$D$12&gt;=1,INDEX($C$8:$AL$8,N$2-Inputs!$D$12),0)</f>
        <v>1</v>
      </c>
      <c r="O9" s="21" t="n">
        <f aca="false">IF(O$2-Inputs!$D$12&gt;=1,INDEX($C$8:$AL$8,O$2-Inputs!$D$12),0)</f>
        <v>0</v>
      </c>
      <c r="P9" s="21" t="n">
        <f aca="false">IF(P$2-Inputs!$D$12&gt;=1,INDEX($C$8:$AL$8,P$2-Inputs!$D$12),0)</f>
        <v>0</v>
      </c>
      <c r="Q9" s="21" t="n">
        <f aca="false">IF(Q$2-Inputs!$D$12&gt;=1,INDEX($C$8:$AL$8,Q$2-Inputs!$D$12),0)</f>
        <v>1</v>
      </c>
      <c r="R9" s="21" t="n">
        <f aca="false">IF(R$2-Inputs!$D$12&gt;=1,INDEX($C$8:$AL$8,R$2-Inputs!$D$12),0)</f>
        <v>0</v>
      </c>
      <c r="S9" s="21" t="n">
        <f aca="false">IF(S$2-Inputs!$D$12&gt;=1,INDEX($C$8:$AL$8,S$2-Inputs!$D$12),0)</f>
        <v>0</v>
      </c>
      <c r="T9" s="21" t="n">
        <f aca="false">IF(T$2-Inputs!$D$12&gt;=1,INDEX($C$8:$AL$8,T$2-Inputs!$D$12),0)</f>
        <v>0</v>
      </c>
      <c r="U9" s="21" t="n">
        <f aca="false">IF(U$2-Inputs!$D$12&gt;=1,INDEX($C$8:$AL$8,U$2-Inputs!$D$12),0)</f>
        <v>1</v>
      </c>
      <c r="V9" s="21" t="n">
        <f aca="false">IF(V$2-Inputs!$D$12&gt;=1,INDEX($C$8:$AL$8,V$2-Inputs!$D$12),0)</f>
        <v>0</v>
      </c>
      <c r="W9" s="21" t="n">
        <f aca="false">IF(W$2-Inputs!$D$12&gt;=1,INDEX($C$8:$AL$8,W$2-Inputs!$D$12),0)</f>
        <v>0</v>
      </c>
      <c r="X9" s="21" t="n">
        <f aca="false">IF(X$2-Inputs!$D$12&gt;=1,INDEX($C$8:$AL$8,X$2-Inputs!$D$12),0)</f>
        <v>1</v>
      </c>
      <c r="Y9" s="21" t="n">
        <f aca="false">IF(Y$2-Inputs!$D$12&gt;=1,INDEX($C$8:$AL$8,Y$2-Inputs!$D$12),0)</f>
        <v>0</v>
      </c>
      <c r="Z9" s="21" t="n">
        <f aca="false">IF(Z$2-Inputs!$D$12&gt;=1,INDEX($C$8:$AL$8,Z$2-Inputs!$D$12),0)</f>
        <v>1</v>
      </c>
      <c r="AA9" s="21" t="n">
        <f aca="false">IF(AA$2-Inputs!$D$12&gt;=1,INDEX($C$8:$AL$8,AA$2-Inputs!$D$12),0)</f>
        <v>0</v>
      </c>
      <c r="AB9" s="21" t="n">
        <f aca="false">IF(AB$2-Inputs!$D$12&gt;=1,INDEX($C$8:$AL$8,AB$2-Inputs!$D$12),0)</f>
        <v>1</v>
      </c>
      <c r="AC9" s="21" t="n">
        <f aca="false">IF(AC$2-Inputs!$D$12&gt;=1,INDEX($C$8:$AL$8,AC$2-Inputs!$D$12),0)</f>
        <v>1</v>
      </c>
      <c r="AD9" s="21" t="n">
        <f aca="false">IF(AD$2-Inputs!$D$12&gt;=1,INDEX($C$8:$AL$8,AD$2-Inputs!$D$12),0)</f>
        <v>0</v>
      </c>
      <c r="AE9" s="21" t="n">
        <f aca="false">IF(AE$2-Inputs!$D$12&gt;=1,INDEX($C$8:$AL$8,AE$2-Inputs!$D$12),0)</f>
        <v>0</v>
      </c>
      <c r="AF9" s="21" t="n">
        <f aca="false">IF(AF$2-Inputs!$D$12&gt;=1,INDEX($C$8:$AL$8,AF$2-Inputs!$D$12),0)</f>
        <v>1</v>
      </c>
      <c r="AG9" s="21" t="n">
        <f aca="false">IF(AG$2-Inputs!$D$12&gt;=1,INDEX($C$8:$AL$8,AG$2-Inputs!$D$12),0)</f>
        <v>0</v>
      </c>
      <c r="AH9" s="21" t="n">
        <f aca="false">IF(AH$2-Inputs!$D$12&gt;=1,INDEX($C$8:$AL$8,AH$2-Inputs!$D$12),0)</f>
        <v>0</v>
      </c>
      <c r="AI9" s="21" t="n">
        <f aca="false">IF(AI$2-Inputs!$D$12&gt;=1,INDEX($C$8:$AL$8,AI$2-Inputs!$D$12),0)</f>
        <v>1</v>
      </c>
      <c r="AJ9" s="21" t="n">
        <f aca="false">IF(AJ$2-Inputs!$D$12&gt;=1,INDEX($C$8:$AL$8,AJ$2-Inputs!$D$12),0)</f>
        <v>0</v>
      </c>
      <c r="AK9" s="21" t="n">
        <f aca="false">IF(AK$2-Inputs!$D$12&gt;=1,INDEX($C$8:$AL$8,AK$2-Inputs!$D$12),0)</f>
        <v>1</v>
      </c>
      <c r="AL9" s="21" t="n">
        <f aca="false">IF(AL$2-Inputs!$D$12&gt;=1,INDEX($C$8:$AL$8,AL$2-Inputs!$D$12),0)</f>
        <v>1</v>
      </c>
    </row>
    <row r="10" customFormat="false" ht="15" hidden="false" customHeight="false" outlineLevel="0" collapsed="false">
      <c r="A10" s="2" t="s">
        <v>196</v>
      </c>
      <c r="B10" s="4"/>
      <c r="C10" s="21" t="n">
        <f aca="false">IF(C$2=Inputs!$D$6+Inputs!$D$12,1,0)</f>
        <v>0</v>
      </c>
      <c r="D10" s="21" t="n">
        <f aca="false">IF(D$2=Inputs!$D$6+Inputs!$D$12,1,0)</f>
        <v>0</v>
      </c>
      <c r="E10" s="21" t="n">
        <f aca="false">IF(E$2=Inputs!$D$6+Inputs!$D$12,1,0)</f>
        <v>1</v>
      </c>
      <c r="F10" s="21" t="n">
        <f aca="false">IF(F$2=Inputs!$D$6+Inputs!$D$12,1,0)</f>
        <v>0</v>
      </c>
      <c r="G10" s="21" t="n">
        <f aca="false">IF(G$2=Inputs!$D$6+Inputs!$D$12,1,0)</f>
        <v>0</v>
      </c>
      <c r="H10" s="21" t="n">
        <f aca="false">IF(H$2=Inputs!$D$6+Inputs!$D$12,1,0)</f>
        <v>0</v>
      </c>
      <c r="I10" s="21" t="n">
        <f aca="false">IF(I$2=Inputs!$D$6+Inputs!$D$12,1,0)</f>
        <v>0</v>
      </c>
      <c r="J10" s="21" t="n">
        <f aca="false">IF(J$2=Inputs!$D$6+Inputs!$D$12,1,0)</f>
        <v>0</v>
      </c>
      <c r="K10" s="21" t="n">
        <f aca="false">IF(K$2=Inputs!$D$6+Inputs!$D$12,1,0)</f>
        <v>0</v>
      </c>
      <c r="L10" s="21" t="n">
        <f aca="false">IF(L$2=Inputs!$D$6+Inputs!$D$12,1,0)</f>
        <v>0</v>
      </c>
      <c r="M10" s="21" t="n">
        <f aca="false">IF(M$2=Inputs!$D$6+Inputs!$D$12,1,0)</f>
        <v>0</v>
      </c>
      <c r="N10" s="21" t="n">
        <f aca="false">IF(N$2=Inputs!$D$6+Inputs!$D$12,1,0)</f>
        <v>0</v>
      </c>
      <c r="O10" s="21" t="n">
        <f aca="false">IF(O$2=Inputs!$D$6+Inputs!$D$12,1,0)</f>
        <v>0</v>
      </c>
      <c r="P10" s="21" t="n">
        <f aca="false">IF(P$2=Inputs!$D$6+Inputs!$D$12,1,0)</f>
        <v>0</v>
      </c>
      <c r="Q10" s="21" t="n">
        <f aca="false">IF(Q$2=Inputs!$D$6+Inputs!$D$12,1,0)</f>
        <v>0</v>
      </c>
      <c r="R10" s="21" t="n">
        <f aca="false">IF(R$2=Inputs!$D$6+Inputs!$D$12,1,0)</f>
        <v>0</v>
      </c>
      <c r="S10" s="21" t="n">
        <f aca="false">IF(S$2=Inputs!$D$6+Inputs!$D$12,1,0)</f>
        <v>0</v>
      </c>
      <c r="T10" s="21" t="n">
        <f aca="false">IF(T$2=Inputs!$D$6+Inputs!$D$12,1,0)</f>
        <v>0</v>
      </c>
      <c r="U10" s="21" t="n">
        <f aca="false">IF(U$2=Inputs!$D$6+Inputs!$D$12,1,0)</f>
        <v>0</v>
      </c>
      <c r="V10" s="21" t="n">
        <f aca="false">IF(V$2=Inputs!$D$6+Inputs!$D$12,1,0)</f>
        <v>0</v>
      </c>
      <c r="W10" s="21" t="n">
        <f aca="false">IF(W$2=Inputs!$D$6+Inputs!$D$12,1,0)</f>
        <v>0</v>
      </c>
      <c r="X10" s="21" t="n">
        <f aca="false">IF(X$2=Inputs!$D$6+Inputs!$D$12,1,0)</f>
        <v>0</v>
      </c>
      <c r="Y10" s="21" t="n">
        <f aca="false">IF(Y$2=Inputs!$D$6+Inputs!$D$12,1,0)</f>
        <v>0</v>
      </c>
      <c r="Z10" s="21" t="n">
        <f aca="false">IF(Z$2=Inputs!$D$6+Inputs!$D$12,1,0)</f>
        <v>0</v>
      </c>
      <c r="AA10" s="21" t="n">
        <f aca="false">IF(AA$2=Inputs!$D$6+Inputs!$D$12,1,0)</f>
        <v>0</v>
      </c>
      <c r="AB10" s="21" t="n">
        <f aca="false">IF(AB$2=Inputs!$D$6+Inputs!$D$12,1,0)</f>
        <v>0</v>
      </c>
      <c r="AC10" s="21" t="n">
        <f aca="false">IF(AC$2=Inputs!$D$6+Inputs!$D$12,1,0)</f>
        <v>0</v>
      </c>
      <c r="AD10" s="21" t="n">
        <f aca="false">IF(AD$2=Inputs!$D$6+Inputs!$D$12,1,0)</f>
        <v>0</v>
      </c>
      <c r="AE10" s="21" t="n">
        <f aca="false">IF(AE$2=Inputs!$D$6+Inputs!$D$12,1,0)</f>
        <v>0</v>
      </c>
      <c r="AF10" s="21" t="n">
        <f aca="false">IF(AF$2=Inputs!$D$6+Inputs!$D$12,1,0)</f>
        <v>0</v>
      </c>
      <c r="AG10" s="21" t="n">
        <f aca="false">IF(AG$2=Inputs!$D$6+Inputs!$D$12,1,0)</f>
        <v>0</v>
      </c>
      <c r="AH10" s="21" t="n">
        <f aca="false">IF(AH$2=Inputs!$D$6+Inputs!$D$12,1,0)</f>
        <v>0</v>
      </c>
      <c r="AI10" s="21" t="n">
        <f aca="false">IF(AI$2=Inputs!$D$6+Inputs!$D$12,1,0)</f>
        <v>0</v>
      </c>
      <c r="AJ10" s="21" t="n">
        <f aca="false">IF(AJ$2=Inputs!$D$6+Inputs!$D$12,1,0)</f>
        <v>0</v>
      </c>
      <c r="AK10" s="21" t="n">
        <f aca="false">IF(AK$2=Inputs!$D$6+Inputs!$D$12,1,0)</f>
        <v>0</v>
      </c>
      <c r="AL10" s="21" t="n">
        <f aca="false">IF(AL$2=Inputs!$D$6+Inputs!$D$12,1,0)</f>
        <v>0</v>
      </c>
    </row>
    <row r="11" customFormat="false" ht="15" hidden="false" customHeight="false" outlineLevel="0" collapsed="false">
      <c r="A11" s="2" t="s">
        <v>197</v>
      </c>
      <c r="B11" s="4"/>
      <c r="C11" s="21" t="n">
        <f aca="false">0+C9+C10</f>
        <v>0</v>
      </c>
      <c r="D11" s="21" t="n">
        <f aca="false">C11+D9+D10</f>
        <v>0</v>
      </c>
      <c r="E11" s="21" t="n">
        <f aca="false">D11+E9+E10</f>
        <v>1</v>
      </c>
      <c r="F11" s="21" t="n">
        <f aca="false">E11+F9+F10</f>
        <v>1</v>
      </c>
      <c r="G11" s="21" t="n">
        <f aca="false">F11+G9+G10</f>
        <v>1</v>
      </c>
      <c r="H11" s="21" t="n">
        <f aca="false">G11+H9+H10</f>
        <v>1</v>
      </c>
      <c r="I11" s="21" t="n">
        <f aca="false">H11+I9+I10</f>
        <v>1</v>
      </c>
      <c r="J11" s="21" t="n">
        <f aca="false">I11+J9+J10</f>
        <v>1</v>
      </c>
      <c r="K11" s="21" t="n">
        <f aca="false">J11+K9+K10</f>
        <v>2</v>
      </c>
      <c r="L11" s="21" t="n">
        <f aca="false">K11+L9+L10</f>
        <v>2</v>
      </c>
      <c r="M11" s="21" t="n">
        <f aca="false">L11+M9+M10</f>
        <v>2</v>
      </c>
      <c r="N11" s="21" t="n">
        <f aca="false">M11+N9+N10</f>
        <v>3</v>
      </c>
      <c r="O11" s="21" t="n">
        <f aca="false">N11+O9+O10</f>
        <v>3</v>
      </c>
      <c r="P11" s="21" t="n">
        <f aca="false">O11+P9+P10</f>
        <v>3</v>
      </c>
      <c r="Q11" s="21" t="n">
        <f aca="false">P11+Q9+Q10</f>
        <v>4</v>
      </c>
      <c r="R11" s="21" t="n">
        <f aca="false">Q11+R9+R10</f>
        <v>4</v>
      </c>
      <c r="S11" s="21" t="n">
        <f aca="false">R11+S9+S10</f>
        <v>4</v>
      </c>
      <c r="T11" s="21" t="n">
        <f aca="false">S11+T9+T10</f>
        <v>4</v>
      </c>
      <c r="U11" s="21" t="n">
        <f aca="false">T11+U9+U10</f>
        <v>5</v>
      </c>
      <c r="V11" s="21" t="n">
        <f aca="false">U11+V9+V10</f>
        <v>5</v>
      </c>
      <c r="W11" s="21" t="n">
        <f aca="false">V11+W9+W10</f>
        <v>5</v>
      </c>
      <c r="X11" s="21" t="n">
        <f aca="false">W11+X9+X10</f>
        <v>6</v>
      </c>
      <c r="Y11" s="21" t="n">
        <f aca="false">X11+Y9+Y10</f>
        <v>6</v>
      </c>
      <c r="Z11" s="21" t="n">
        <f aca="false">Y11+Z9+Z10</f>
        <v>7</v>
      </c>
      <c r="AA11" s="21" t="n">
        <f aca="false">Z11+AA9+AA10</f>
        <v>7</v>
      </c>
      <c r="AB11" s="21" t="n">
        <f aca="false">AA11+AB9+AB10</f>
        <v>8</v>
      </c>
      <c r="AC11" s="21" t="n">
        <f aca="false">AB11+AC9+AC10</f>
        <v>9</v>
      </c>
      <c r="AD11" s="21" t="n">
        <f aca="false">AC11+AD9+AD10</f>
        <v>9</v>
      </c>
      <c r="AE11" s="21" t="n">
        <f aca="false">AD11+AE9+AE10</f>
        <v>9</v>
      </c>
      <c r="AF11" s="21" t="n">
        <f aca="false">AE11+AF9+AF10</f>
        <v>10</v>
      </c>
      <c r="AG11" s="21" t="n">
        <f aca="false">AF11+AG9+AG10</f>
        <v>10</v>
      </c>
      <c r="AH11" s="21" t="n">
        <f aca="false">AG11+AH9+AH10</f>
        <v>10</v>
      </c>
      <c r="AI11" s="21" t="n">
        <f aca="false">AH11+AI9+AI10</f>
        <v>11</v>
      </c>
      <c r="AJ11" s="21" t="n">
        <f aca="false">AI11+AJ9+AJ10</f>
        <v>11</v>
      </c>
      <c r="AK11" s="21" t="n">
        <f aca="false">AJ11+AK9+AK10</f>
        <v>12</v>
      </c>
      <c r="AL11" s="21" t="n">
        <f aca="false">AK11+AL9+AL10</f>
        <v>13</v>
      </c>
    </row>
    <row r="12" customFormat="false" ht="15" hidden="false" customHeight="false" outlineLevel="0" collapsed="false">
      <c r="A12" s="2" t="s">
        <v>198</v>
      </c>
      <c r="B12" s="4"/>
      <c r="C12" s="24" t="n">
        <f aca="false">0+0</f>
        <v>0</v>
      </c>
      <c r="D12" s="24" t="n">
        <f aca="false">C12+C9</f>
        <v>0</v>
      </c>
      <c r="E12" s="24" t="n">
        <f aca="false">D12+D9</f>
        <v>0</v>
      </c>
      <c r="F12" s="24" t="n">
        <f aca="false">E12+E9</f>
        <v>0</v>
      </c>
      <c r="G12" s="24" t="n">
        <f aca="false">F12+F9</f>
        <v>0</v>
      </c>
      <c r="H12" s="24" t="n">
        <f aca="false">G12+G9</f>
        <v>0</v>
      </c>
      <c r="I12" s="24" t="n">
        <f aca="false">H12+H9</f>
        <v>0</v>
      </c>
      <c r="J12" s="24" t="n">
        <f aca="false">I12+I9</f>
        <v>0</v>
      </c>
      <c r="K12" s="24" t="n">
        <f aca="false">J12+J9</f>
        <v>0</v>
      </c>
      <c r="L12" s="24" t="n">
        <f aca="false">K12+K9</f>
        <v>1</v>
      </c>
      <c r="M12" s="24" t="n">
        <f aca="false">L12+L9</f>
        <v>1</v>
      </c>
      <c r="N12" s="24" t="n">
        <f aca="false">M12+M9</f>
        <v>1</v>
      </c>
      <c r="O12" s="24" t="n">
        <f aca="false">N12+N9</f>
        <v>2</v>
      </c>
      <c r="P12" s="24" t="n">
        <f aca="false">O12+O9</f>
        <v>2</v>
      </c>
      <c r="Q12" s="24" t="n">
        <f aca="false">P12+P9</f>
        <v>2</v>
      </c>
      <c r="R12" s="24" t="n">
        <f aca="false">Q12+Q9</f>
        <v>3</v>
      </c>
      <c r="S12" s="24" t="n">
        <f aca="false">R12+R9</f>
        <v>3</v>
      </c>
      <c r="T12" s="24" t="n">
        <f aca="false">S12+S9</f>
        <v>3</v>
      </c>
      <c r="U12" s="24" t="n">
        <f aca="false">T12+T9</f>
        <v>3</v>
      </c>
      <c r="V12" s="24" t="n">
        <f aca="false">U12+U9</f>
        <v>4</v>
      </c>
      <c r="W12" s="24" t="n">
        <f aca="false">V12+V9</f>
        <v>4</v>
      </c>
      <c r="X12" s="24" t="n">
        <f aca="false">W12+W9</f>
        <v>4</v>
      </c>
      <c r="Y12" s="24" t="n">
        <f aca="false">X12+X9</f>
        <v>5</v>
      </c>
      <c r="Z12" s="24" t="n">
        <f aca="false">Y12+Y9</f>
        <v>5</v>
      </c>
      <c r="AA12" s="24" t="n">
        <f aca="false">Z12+Z9</f>
        <v>6</v>
      </c>
      <c r="AB12" s="24" t="n">
        <f aca="false">AA12+AA9</f>
        <v>6</v>
      </c>
      <c r="AC12" s="24" t="n">
        <f aca="false">AB12+AB9</f>
        <v>7</v>
      </c>
      <c r="AD12" s="24" t="n">
        <f aca="false">AC12+AC9</f>
        <v>8</v>
      </c>
      <c r="AE12" s="24" t="n">
        <f aca="false">AD12+AD9</f>
        <v>8</v>
      </c>
      <c r="AF12" s="24" t="n">
        <f aca="false">AE12+AE9</f>
        <v>8</v>
      </c>
      <c r="AG12" s="24" t="n">
        <f aca="false">AF12+AF9</f>
        <v>9</v>
      </c>
      <c r="AH12" s="24" t="n">
        <f aca="false">AG12+AG9</f>
        <v>9</v>
      </c>
      <c r="AI12" s="24" t="n">
        <f aca="false">AH12+AH9</f>
        <v>9</v>
      </c>
      <c r="AJ12" s="24" t="n">
        <f aca="false">AI12+AI9</f>
        <v>10</v>
      </c>
      <c r="AK12" s="24" t="n">
        <f aca="false">AJ12+AJ9</f>
        <v>10</v>
      </c>
      <c r="AL12" s="24" t="n">
        <f aca="false">AK12+AK9</f>
        <v>11</v>
      </c>
    </row>
    <row r="13" customFormat="false" ht="15" hidden="false" customHeight="false" outlineLevel="0" collapsed="false">
      <c r="A13" s="2" t="s">
        <v>199</v>
      </c>
      <c r="B13" s="4"/>
      <c r="C13" s="21" t="n">
        <f aca="false">IF(C$2&gt;Inputs!$D$6+Inputs!$D$12,1,0)</f>
        <v>0</v>
      </c>
      <c r="D13" s="21" t="n">
        <f aca="false">IF(D$2&gt;Inputs!$D$6+Inputs!$D$12,1,0)</f>
        <v>0</v>
      </c>
      <c r="E13" s="21" t="n">
        <f aca="false">IF(E$2&gt;Inputs!$D$6+Inputs!$D$12,1,0)</f>
        <v>0</v>
      </c>
      <c r="F13" s="21" t="n">
        <f aca="false">IF(F$2&gt;Inputs!$D$6+Inputs!$D$12,1,0)</f>
        <v>1</v>
      </c>
      <c r="G13" s="21" t="n">
        <f aca="false">IF(G$2&gt;Inputs!$D$6+Inputs!$D$12,1,0)</f>
        <v>1</v>
      </c>
      <c r="H13" s="21" t="n">
        <f aca="false">IF(H$2&gt;Inputs!$D$6+Inputs!$D$12,1,0)</f>
        <v>1</v>
      </c>
      <c r="I13" s="21" t="n">
        <f aca="false">IF(I$2&gt;Inputs!$D$6+Inputs!$D$12,1,0)</f>
        <v>1</v>
      </c>
      <c r="J13" s="21" t="n">
        <f aca="false">IF(J$2&gt;Inputs!$D$6+Inputs!$D$12,1,0)</f>
        <v>1</v>
      </c>
      <c r="K13" s="21" t="n">
        <f aca="false">IF(K$2&gt;Inputs!$D$6+Inputs!$D$12,1,0)</f>
        <v>1</v>
      </c>
      <c r="L13" s="21" t="n">
        <f aca="false">IF(L$2&gt;Inputs!$D$6+Inputs!$D$12,1,0)</f>
        <v>1</v>
      </c>
      <c r="M13" s="21" t="n">
        <f aca="false">IF(M$2&gt;Inputs!$D$6+Inputs!$D$12,1,0)</f>
        <v>1</v>
      </c>
      <c r="N13" s="21" t="n">
        <f aca="false">IF(N$2&gt;Inputs!$D$6+Inputs!$D$12,1,0)</f>
        <v>1</v>
      </c>
      <c r="O13" s="21" t="n">
        <f aca="false">IF(O$2&gt;Inputs!$D$6+Inputs!$D$12,1,0)</f>
        <v>1</v>
      </c>
      <c r="P13" s="21" t="n">
        <f aca="false">IF(P$2&gt;Inputs!$D$6+Inputs!$D$12,1,0)</f>
        <v>1</v>
      </c>
      <c r="Q13" s="21" t="n">
        <f aca="false">IF(Q$2&gt;Inputs!$D$6+Inputs!$D$12,1,0)</f>
        <v>1</v>
      </c>
      <c r="R13" s="21" t="n">
        <f aca="false">IF(R$2&gt;Inputs!$D$6+Inputs!$D$12,1,0)</f>
        <v>1</v>
      </c>
      <c r="S13" s="21" t="n">
        <f aca="false">IF(S$2&gt;Inputs!$D$6+Inputs!$D$12,1,0)</f>
        <v>1</v>
      </c>
      <c r="T13" s="21" t="n">
        <f aca="false">IF(T$2&gt;Inputs!$D$6+Inputs!$D$12,1,0)</f>
        <v>1</v>
      </c>
      <c r="U13" s="21" t="n">
        <f aca="false">IF(U$2&gt;Inputs!$D$6+Inputs!$D$12,1,0)</f>
        <v>1</v>
      </c>
      <c r="V13" s="21" t="n">
        <f aca="false">IF(V$2&gt;Inputs!$D$6+Inputs!$D$12,1,0)</f>
        <v>1</v>
      </c>
      <c r="W13" s="21" t="n">
        <f aca="false">IF(W$2&gt;Inputs!$D$6+Inputs!$D$12,1,0)</f>
        <v>1</v>
      </c>
      <c r="X13" s="21" t="n">
        <f aca="false">IF(X$2&gt;Inputs!$D$6+Inputs!$D$12,1,0)</f>
        <v>1</v>
      </c>
      <c r="Y13" s="21" t="n">
        <f aca="false">IF(Y$2&gt;Inputs!$D$6+Inputs!$D$12,1,0)</f>
        <v>1</v>
      </c>
      <c r="Z13" s="21" t="n">
        <f aca="false">IF(Z$2&gt;Inputs!$D$6+Inputs!$D$12,1,0)</f>
        <v>1</v>
      </c>
      <c r="AA13" s="21" t="n">
        <f aca="false">IF(AA$2&gt;Inputs!$D$6+Inputs!$D$12,1,0)</f>
        <v>1</v>
      </c>
      <c r="AB13" s="21" t="n">
        <f aca="false">IF(AB$2&gt;Inputs!$D$6+Inputs!$D$12,1,0)</f>
        <v>1</v>
      </c>
      <c r="AC13" s="21" t="n">
        <f aca="false">IF(AC$2&gt;Inputs!$D$6+Inputs!$D$12,1,0)</f>
        <v>1</v>
      </c>
      <c r="AD13" s="21" t="n">
        <f aca="false">IF(AD$2&gt;Inputs!$D$6+Inputs!$D$12,1,0)</f>
        <v>1</v>
      </c>
      <c r="AE13" s="21" t="n">
        <f aca="false">IF(AE$2&gt;Inputs!$D$6+Inputs!$D$12,1,0)</f>
        <v>1</v>
      </c>
      <c r="AF13" s="21" t="n">
        <f aca="false">IF(AF$2&gt;Inputs!$D$6+Inputs!$D$12,1,0)</f>
        <v>1</v>
      </c>
      <c r="AG13" s="21" t="n">
        <f aca="false">IF(AG$2&gt;Inputs!$D$6+Inputs!$D$12,1,0)</f>
        <v>1</v>
      </c>
      <c r="AH13" s="21" t="n">
        <f aca="false">IF(AH$2&gt;Inputs!$D$6+Inputs!$D$12,1,0)</f>
        <v>1</v>
      </c>
      <c r="AI13" s="21" t="n">
        <f aca="false">IF(AI$2&gt;Inputs!$D$6+Inputs!$D$12,1,0)</f>
        <v>1</v>
      </c>
      <c r="AJ13" s="21" t="n">
        <f aca="false">IF(AJ$2&gt;Inputs!$D$6+Inputs!$D$12,1,0)</f>
        <v>1</v>
      </c>
      <c r="AK13" s="21" t="n">
        <f aca="false">IF(AK$2&gt;Inputs!$D$6+Inputs!$D$12,1,0)</f>
        <v>1</v>
      </c>
      <c r="AL13" s="21" t="n">
        <f aca="false">IF(AL$2&gt;Inputs!$D$6+Inputs!$D$12,1,0)</f>
        <v>1</v>
      </c>
    </row>
    <row r="14" customFormat="false" ht="15" hidden="false" customHeight="false" outlineLevel="0" collapsed="false">
      <c r="A14" s="2" t="s">
        <v>200</v>
      </c>
      <c r="B14" s="4"/>
      <c r="C14" s="21" t="n">
        <f aca="false">IF(C$2-Inputs!$D$16&gt;=1,INDEX($C$11:$AL$11,C$2-Inputs!$D$16),0)</f>
        <v>0</v>
      </c>
      <c r="D14" s="21" t="n">
        <f aca="false">IF(D$2-Inputs!$D$16&gt;=1,INDEX($C$11:$AL$11,D$2-Inputs!$D$16),0)</f>
        <v>0</v>
      </c>
      <c r="E14" s="21" t="n">
        <f aca="false">IF(E$2-Inputs!$D$16&gt;=1,INDEX($C$11:$AL$11,E$2-Inputs!$D$16),0)</f>
        <v>0</v>
      </c>
      <c r="F14" s="21" t="n">
        <f aca="false">IF(F$2-Inputs!$D$16&gt;=1,INDEX($C$11:$AL$11,F$2-Inputs!$D$16),0)</f>
        <v>0</v>
      </c>
      <c r="G14" s="21" t="n">
        <f aca="false">IF(G$2-Inputs!$D$16&gt;=1,INDEX($C$11:$AL$11,G$2-Inputs!$D$16),0)</f>
        <v>0</v>
      </c>
      <c r="H14" s="21" t="n">
        <f aca="false">IF(H$2-Inputs!$D$16&gt;=1,INDEX($C$11:$AL$11,H$2-Inputs!$D$16),0)</f>
        <v>1</v>
      </c>
      <c r="I14" s="21" t="n">
        <f aca="false">IF(I$2-Inputs!$D$16&gt;=1,INDEX($C$11:$AL$11,I$2-Inputs!$D$16),0)</f>
        <v>1</v>
      </c>
      <c r="J14" s="21" t="n">
        <f aca="false">IF(J$2-Inputs!$D$16&gt;=1,INDEX($C$11:$AL$11,J$2-Inputs!$D$16),0)</f>
        <v>1</v>
      </c>
      <c r="K14" s="21" t="n">
        <f aca="false">IF(K$2-Inputs!$D$16&gt;=1,INDEX($C$11:$AL$11,K$2-Inputs!$D$16),0)</f>
        <v>1</v>
      </c>
      <c r="L14" s="21" t="n">
        <f aca="false">IF(L$2-Inputs!$D$16&gt;=1,INDEX($C$11:$AL$11,L$2-Inputs!$D$16),0)</f>
        <v>1</v>
      </c>
      <c r="M14" s="21" t="n">
        <f aca="false">IF(M$2-Inputs!$D$16&gt;=1,INDEX($C$11:$AL$11,M$2-Inputs!$D$16),0)</f>
        <v>1</v>
      </c>
      <c r="N14" s="21" t="n">
        <f aca="false">IF(N$2-Inputs!$D$16&gt;=1,INDEX($C$11:$AL$11,N$2-Inputs!$D$16),0)</f>
        <v>2</v>
      </c>
      <c r="O14" s="21" t="n">
        <f aca="false">IF(O$2-Inputs!$D$16&gt;=1,INDEX($C$11:$AL$11,O$2-Inputs!$D$16),0)</f>
        <v>2</v>
      </c>
      <c r="P14" s="21" t="n">
        <f aca="false">IF(P$2-Inputs!$D$16&gt;=1,INDEX($C$11:$AL$11,P$2-Inputs!$D$16),0)</f>
        <v>2</v>
      </c>
      <c r="Q14" s="21" t="n">
        <f aca="false">IF(Q$2-Inputs!$D$16&gt;=1,INDEX($C$11:$AL$11,Q$2-Inputs!$D$16),0)</f>
        <v>3</v>
      </c>
      <c r="R14" s="21" t="n">
        <f aca="false">IF(R$2-Inputs!$D$16&gt;=1,INDEX($C$11:$AL$11,R$2-Inputs!$D$16),0)</f>
        <v>3</v>
      </c>
      <c r="S14" s="21" t="n">
        <f aca="false">IF(S$2-Inputs!$D$16&gt;=1,INDEX($C$11:$AL$11,S$2-Inputs!$D$16),0)</f>
        <v>3</v>
      </c>
      <c r="T14" s="21" t="n">
        <f aca="false">IF(T$2-Inputs!$D$16&gt;=1,INDEX($C$11:$AL$11,T$2-Inputs!$D$16),0)</f>
        <v>4</v>
      </c>
      <c r="U14" s="21" t="n">
        <f aca="false">IF(U$2-Inputs!$D$16&gt;=1,INDEX($C$11:$AL$11,U$2-Inputs!$D$16),0)</f>
        <v>4</v>
      </c>
      <c r="V14" s="21" t="n">
        <f aca="false">IF(V$2-Inputs!$D$16&gt;=1,INDEX($C$11:$AL$11,V$2-Inputs!$D$16),0)</f>
        <v>4</v>
      </c>
      <c r="W14" s="21" t="n">
        <f aca="false">IF(W$2-Inputs!$D$16&gt;=1,INDEX($C$11:$AL$11,W$2-Inputs!$D$16),0)</f>
        <v>4</v>
      </c>
      <c r="X14" s="21" t="n">
        <f aca="false">IF(X$2-Inputs!$D$16&gt;=1,INDEX($C$11:$AL$11,X$2-Inputs!$D$16),0)</f>
        <v>5</v>
      </c>
      <c r="Y14" s="21" t="n">
        <f aca="false">IF(Y$2-Inputs!$D$16&gt;=1,INDEX($C$11:$AL$11,Y$2-Inputs!$D$16),0)</f>
        <v>5</v>
      </c>
      <c r="Z14" s="21" t="n">
        <f aca="false">IF(Z$2-Inputs!$D$16&gt;=1,INDEX($C$11:$AL$11,Z$2-Inputs!$D$16),0)</f>
        <v>5</v>
      </c>
      <c r="AA14" s="21" t="n">
        <f aca="false">IF(AA$2-Inputs!$D$16&gt;=1,INDEX($C$11:$AL$11,AA$2-Inputs!$D$16),0)</f>
        <v>6</v>
      </c>
      <c r="AB14" s="21" t="n">
        <f aca="false">IF(AB$2-Inputs!$D$16&gt;=1,INDEX($C$11:$AL$11,AB$2-Inputs!$D$16),0)</f>
        <v>6</v>
      </c>
      <c r="AC14" s="21" t="n">
        <f aca="false">IF(AC$2-Inputs!$D$16&gt;=1,INDEX($C$11:$AL$11,AC$2-Inputs!$D$16),0)</f>
        <v>7</v>
      </c>
      <c r="AD14" s="21" t="n">
        <f aca="false">IF(AD$2-Inputs!$D$16&gt;=1,INDEX($C$11:$AL$11,AD$2-Inputs!$D$16),0)</f>
        <v>7</v>
      </c>
      <c r="AE14" s="21" t="n">
        <f aca="false">IF(AE$2-Inputs!$D$16&gt;=1,INDEX($C$11:$AL$11,AE$2-Inputs!$D$16),0)</f>
        <v>8</v>
      </c>
      <c r="AF14" s="21" t="n">
        <f aca="false">IF(AF$2-Inputs!$D$16&gt;=1,INDEX($C$11:$AL$11,AF$2-Inputs!$D$16),0)</f>
        <v>9</v>
      </c>
      <c r="AG14" s="21" t="n">
        <f aca="false">IF(AG$2-Inputs!$D$16&gt;=1,INDEX($C$11:$AL$11,AG$2-Inputs!$D$16),0)</f>
        <v>9</v>
      </c>
      <c r="AH14" s="21" t="n">
        <f aca="false">IF(AH$2-Inputs!$D$16&gt;=1,INDEX($C$11:$AL$11,AH$2-Inputs!$D$16),0)</f>
        <v>9</v>
      </c>
      <c r="AI14" s="21" t="n">
        <f aca="false">IF(AI$2-Inputs!$D$16&gt;=1,INDEX($C$11:$AL$11,AI$2-Inputs!$D$16),0)</f>
        <v>10</v>
      </c>
      <c r="AJ14" s="21" t="n">
        <f aca="false">IF(AJ$2-Inputs!$D$16&gt;=1,INDEX($C$11:$AL$11,AJ$2-Inputs!$D$16),0)</f>
        <v>10</v>
      </c>
      <c r="AK14" s="21" t="n">
        <f aca="false">IF(AK$2-Inputs!$D$16&gt;=1,INDEX($C$11:$AL$11,AK$2-Inputs!$D$16),0)</f>
        <v>10</v>
      </c>
      <c r="AL14" s="21" t="n">
        <f aca="false">IF(AL$2-Inputs!$D$16&gt;=1,INDEX($C$11:$AL$11,AL$2-Inputs!$D$16),0)</f>
        <v>11</v>
      </c>
    </row>
    <row r="15" customFormat="false" ht="15" hidden="false" customHeight="false" outlineLevel="0" collapsed="false">
      <c r="A15" s="2" t="s">
        <v>201</v>
      </c>
      <c r="B15" s="4"/>
      <c r="C15" s="9" t="n">
        <f aca="false">Schedules!C12</f>
        <v>0</v>
      </c>
      <c r="D15" s="9" t="n">
        <f aca="false">Schedules!D12</f>
        <v>0</v>
      </c>
      <c r="E15" s="9" t="n">
        <f aca="false">Schedules!E12</f>
        <v>1</v>
      </c>
      <c r="F15" s="9" t="n">
        <f aca="false">Schedules!F12</f>
        <v>0</v>
      </c>
      <c r="G15" s="9" t="n">
        <f aca="false">Schedules!G12</f>
        <v>0</v>
      </c>
      <c r="H15" s="9" t="n">
        <f aca="false">Schedules!H12</f>
        <v>1</v>
      </c>
      <c r="I15" s="9" t="n">
        <f aca="false">Schedules!I12</f>
        <v>0</v>
      </c>
      <c r="J15" s="9" t="n">
        <f aca="false">Schedules!J12</f>
        <v>0</v>
      </c>
      <c r="K15" s="9" t="n">
        <f aca="false">Schedules!K12</f>
        <v>1</v>
      </c>
      <c r="L15" s="9" t="n">
        <f aca="false">Schedules!L12</f>
        <v>0</v>
      </c>
      <c r="M15" s="9" t="n">
        <f aca="false">Schedules!M12</f>
        <v>1</v>
      </c>
      <c r="N15" s="9" t="n">
        <f aca="false">Schedules!N12</f>
        <v>0</v>
      </c>
      <c r="O15" s="9" t="n">
        <f aca="false">Schedules!O12</f>
        <v>0</v>
      </c>
      <c r="P15" s="9" t="n">
        <f aca="false">Schedules!P12</f>
        <v>1</v>
      </c>
      <c r="Q15" s="9" t="n">
        <f aca="false">Schedules!Q12</f>
        <v>0</v>
      </c>
      <c r="R15" s="9" t="n">
        <f aca="false">Schedules!R12</f>
        <v>1</v>
      </c>
      <c r="S15" s="9" t="n">
        <f aca="false">Schedules!S12</f>
        <v>0</v>
      </c>
      <c r="T15" s="9" t="n">
        <f aca="false">Schedules!T12</f>
        <v>1</v>
      </c>
      <c r="U15" s="9" t="n">
        <f aca="false">Schedules!U12</f>
        <v>0</v>
      </c>
      <c r="V15" s="9" t="n">
        <f aca="false">Schedules!V12</f>
        <v>1</v>
      </c>
      <c r="W15" s="9" t="n">
        <f aca="false">Schedules!W12</f>
        <v>0</v>
      </c>
      <c r="X15" s="9" t="n">
        <f aca="false">Schedules!X12</f>
        <v>1</v>
      </c>
      <c r="Y15" s="9" t="n">
        <f aca="false">Schedules!Y12</f>
        <v>0</v>
      </c>
      <c r="Z15" s="9" t="n">
        <f aca="false">Schedules!Z12</f>
        <v>0</v>
      </c>
      <c r="AA15" s="9" t="n">
        <f aca="false">Schedules!AA12</f>
        <v>0</v>
      </c>
      <c r="AB15" s="9" t="n">
        <f aca="false">Schedules!AB12</f>
        <v>1</v>
      </c>
      <c r="AC15" s="9" t="n">
        <f aca="false">Schedules!AC12</f>
        <v>0</v>
      </c>
      <c r="AD15" s="9" t="n">
        <f aca="false">Schedules!AD12</f>
        <v>0</v>
      </c>
      <c r="AE15" s="9" t="n">
        <f aca="false">Schedules!AE12</f>
        <v>0</v>
      </c>
      <c r="AF15" s="9" t="n">
        <f aca="false">Schedules!AF12</f>
        <v>1</v>
      </c>
      <c r="AG15" s="9" t="n">
        <f aca="false">Schedules!AG12</f>
        <v>0</v>
      </c>
      <c r="AH15" s="9" t="n">
        <f aca="false">Schedules!AH12</f>
        <v>0</v>
      </c>
      <c r="AI15" s="9" t="n">
        <f aca="false">Schedules!AI12</f>
        <v>0</v>
      </c>
      <c r="AJ15" s="9" t="n">
        <f aca="false">Schedules!AJ12</f>
        <v>1</v>
      </c>
      <c r="AK15" s="9" t="n">
        <f aca="false">Schedules!AK12</f>
        <v>0</v>
      </c>
      <c r="AL15" s="9" t="n">
        <f aca="false">Schedules!AL12</f>
        <v>0</v>
      </c>
    </row>
    <row r="16" customFormat="false" ht="15" hidden="false" customHeight="false" outlineLevel="0" collapsed="false">
      <c r="A16" s="2" t="s">
        <v>202</v>
      </c>
      <c r="B16" s="4"/>
      <c r="C16" s="21" t="n">
        <f aca="false">0+0</f>
        <v>0</v>
      </c>
      <c r="D16" s="21" t="n">
        <f aca="false">C16+C15</f>
        <v>0</v>
      </c>
      <c r="E16" s="21" t="n">
        <f aca="false">D16+D15</f>
        <v>0</v>
      </c>
      <c r="F16" s="21" t="n">
        <f aca="false">E16+E15</f>
        <v>1</v>
      </c>
      <c r="G16" s="21" t="n">
        <f aca="false">F16+F15</f>
        <v>1</v>
      </c>
      <c r="H16" s="21" t="n">
        <f aca="false">G16+G15</f>
        <v>1</v>
      </c>
      <c r="I16" s="21" t="n">
        <f aca="false">H16+H15</f>
        <v>2</v>
      </c>
      <c r="J16" s="21" t="n">
        <f aca="false">I16+I15</f>
        <v>2</v>
      </c>
      <c r="K16" s="21" t="n">
        <f aca="false">J16+J15</f>
        <v>2</v>
      </c>
      <c r="L16" s="21" t="n">
        <f aca="false">K16+K15</f>
        <v>3</v>
      </c>
      <c r="M16" s="21" t="n">
        <f aca="false">L16+L15</f>
        <v>3</v>
      </c>
      <c r="N16" s="21" t="n">
        <f aca="false">M16+M15</f>
        <v>4</v>
      </c>
      <c r="O16" s="21" t="n">
        <f aca="false">N16+N15</f>
        <v>4</v>
      </c>
      <c r="P16" s="21" t="n">
        <f aca="false">O16+O15</f>
        <v>4</v>
      </c>
      <c r="Q16" s="21" t="n">
        <f aca="false">P16+P15</f>
        <v>5</v>
      </c>
      <c r="R16" s="21" t="n">
        <f aca="false">Q16+Q15</f>
        <v>5</v>
      </c>
      <c r="S16" s="21" t="n">
        <f aca="false">R16+R15</f>
        <v>6</v>
      </c>
      <c r="T16" s="21" t="n">
        <f aca="false">S16+S15</f>
        <v>6</v>
      </c>
      <c r="U16" s="21" t="n">
        <f aca="false">T16+T15</f>
        <v>7</v>
      </c>
      <c r="V16" s="21" t="n">
        <f aca="false">U16+U15</f>
        <v>7</v>
      </c>
      <c r="W16" s="21" t="n">
        <f aca="false">V16+V15</f>
        <v>8</v>
      </c>
      <c r="X16" s="21" t="n">
        <f aca="false">W16+W15</f>
        <v>8</v>
      </c>
      <c r="Y16" s="21" t="n">
        <f aca="false">X16+X15</f>
        <v>9</v>
      </c>
      <c r="Z16" s="21" t="n">
        <f aca="false">Y16+Y15</f>
        <v>9</v>
      </c>
      <c r="AA16" s="21" t="n">
        <f aca="false">Z16+Z15</f>
        <v>9</v>
      </c>
      <c r="AB16" s="21" t="n">
        <f aca="false">AA16+AA15</f>
        <v>9</v>
      </c>
      <c r="AC16" s="21" t="n">
        <f aca="false">AB16+AB15</f>
        <v>10</v>
      </c>
      <c r="AD16" s="21" t="n">
        <f aca="false">AC16+AC15</f>
        <v>10</v>
      </c>
      <c r="AE16" s="21" t="n">
        <f aca="false">AD16+AD15</f>
        <v>10</v>
      </c>
      <c r="AF16" s="21" t="n">
        <f aca="false">AE16+AE15</f>
        <v>10</v>
      </c>
      <c r="AG16" s="21" t="n">
        <f aca="false">AF16+AF15</f>
        <v>11</v>
      </c>
      <c r="AH16" s="21" t="n">
        <f aca="false">AG16+AG15</f>
        <v>11</v>
      </c>
      <c r="AI16" s="21" t="n">
        <f aca="false">AH16+AH15</f>
        <v>11</v>
      </c>
      <c r="AJ16" s="21" t="n">
        <f aca="false">AI16+AI15</f>
        <v>11</v>
      </c>
      <c r="AK16" s="21" t="n">
        <f aca="false">AJ16+AJ15</f>
        <v>12</v>
      </c>
      <c r="AL16" s="21" t="n">
        <f aca="false">AK16+AK15</f>
        <v>12</v>
      </c>
    </row>
    <row r="17" customFormat="false" ht="15" hidden="false" customHeight="false" outlineLevel="0" collapsed="false">
      <c r="A17" s="14" t="s">
        <v>203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 customFormat="false" ht="15" hidden="false" customHeight="false" outlineLevel="0" collapsed="false">
      <c r="A18" s="2" t="s">
        <v>204</v>
      </c>
      <c r="B18" s="4"/>
      <c r="C18" s="25" t="n">
        <f aca="false">(1+Inputs!$D$13)^(C$3-1)</f>
        <v>1</v>
      </c>
      <c r="D18" s="25" t="n">
        <f aca="false">(1+Inputs!$D$13)^(D$3-1)</f>
        <v>1</v>
      </c>
      <c r="E18" s="25" t="n">
        <f aca="false">(1+Inputs!$D$13)^(E$3-1)</f>
        <v>1</v>
      </c>
      <c r="F18" s="25" t="n">
        <f aca="false">(1+Inputs!$D$13)^(F$3-1)</f>
        <v>1</v>
      </c>
      <c r="G18" s="25" t="n">
        <f aca="false">(1+Inputs!$D$13)^(G$3-1)</f>
        <v>1</v>
      </c>
      <c r="H18" s="25" t="n">
        <f aca="false">(1+Inputs!$D$13)^(H$3-1)</f>
        <v>1</v>
      </c>
      <c r="I18" s="25" t="n">
        <f aca="false">(1+Inputs!$D$13)^(I$3-1)</f>
        <v>1</v>
      </c>
      <c r="J18" s="25" t="n">
        <f aca="false">(1+Inputs!$D$13)^(J$3-1)</f>
        <v>1</v>
      </c>
      <c r="K18" s="25" t="n">
        <f aca="false">(1+Inputs!$D$13)^(K$3-1)</f>
        <v>1</v>
      </c>
      <c r="L18" s="25" t="n">
        <f aca="false">(1+Inputs!$D$13)^(L$3-1)</f>
        <v>1</v>
      </c>
      <c r="M18" s="25" t="n">
        <f aca="false">(1+Inputs!$D$13)^(M$3-1)</f>
        <v>1</v>
      </c>
      <c r="N18" s="25" t="n">
        <f aca="false">(1+Inputs!$D$13)^(N$3-1)</f>
        <v>1</v>
      </c>
      <c r="O18" s="25" t="n">
        <f aca="false">(1+Inputs!$D$13)^(O$3-1)</f>
        <v>1.05</v>
      </c>
      <c r="P18" s="25" t="n">
        <f aca="false">(1+Inputs!$D$13)^(P$3-1)</f>
        <v>1.05</v>
      </c>
      <c r="Q18" s="25" t="n">
        <f aca="false">(1+Inputs!$D$13)^(Q$3-1)</f>
        <v>1.05</v>
      </c>
      <c r="R18" s="25" t="n">
        <f aca="false">(1+Inputs!$D$13)^(R$3-1)</f>
        <v>1.05</v>
      </c>
      <c r="S18" s="25" t="n">
        <f aca="false">(1+Inputs!$D$13)^(S$3-1)</f>
        <v>1.05</v>
      </c>
      <c r="T18" s="25" t="n">
        <f aca="false">(1+Inputs!$D$13)^(T$3-1)</f>
        <v>1.05</v>
      </c>
      <c r="U18" s="25" t="n">
        <f aca="false">(1+Inputs!$D$13)^(U$3-1)</f>
        <v>1.05</v>
      </c>
      <c r="V18" s="25" t="n">
        <f aca="false">(1+Inputs!$D$13)^(V$3-1)</f>
        <v>1.05</v>
      </c>
      <c r="W18" s="25" t="n">
        <f aca="false">(1+Inputs!$D$13)^(W$3-1)</f>
        <v>1.05</v>
      </c>
      <c r="X18" s="25" t="n">
        <f aca="false">(1+Inputs!$D$13)^(X$3-1)</f>
        <v>1.05</v>
      </c>
      <c r="Y18" s="25" t="n">
        <f aca="false">(1+Inputs!$D$13)^(Y$3-1)</f>
        <v>1.05</v>
      </c>
      <c r="Z18" s="25" t="n">
        <f aca="false">(1+Inputs!$D$13)^(Z$3-1)</f>
        <v>1.05</v>
      </c>
      <c r="AA18" s="25" t="n">
        <f aca="false">(1+Inputs!$D$13)^(AA$3-1)</f>
        <v>1.1025</v>
      </c>
      <c r="AB18" s="25" t="n">
        <f aca="false">(1+Inputs!$D$13)^(AB$3-1)</f>
        <v>1.1025</v>
      </c>
      <c r="AC18" s="25" t="n">
        <f aca="false">(1+Inputs!$D$13)^(AC$3-1)</f>
        <v>1.1025</v>
      </c>
      <c r="AD18" s="25" t="n">
        <f aca="false">(1+Inputs!$D$13)^(AD$3-1)</f>
        <v>1.1025</v>
      </c>
      <c r="AE18" s="25" t="n">
        <f aca="false">(1+Inputs!$D$13)^(AE$3-1)</f>
        <v>1.1025</v>
      </c>
      <c r="AF18" s="25" t="n">
        <f aca="false">(1+Inputs!$D$13)^(AF$3-1)</f>
        <v>1.1025</v>
      </c>
      <c r="AG18" s="25" t="n">
        <f aca="false">(1+Inputs!$D$13)^(AG$3-1)</f>
        <v>1.1025</v>
      </c>
      <c r="AH18" s="25" t="n">
        <f aca="false">(1+Inputs!$D$13)^(AH$3-1)</f>
        <v>1.1025</v>
      </c>
      <c r="AI18" s="25" t="n">
        <f aca="false">(1+Inputs!$D$13)^(AI$3-1)</f>
        <v>1.1025</v>
      </c>
      <c r="AJ18" s="25" t="n">
        <f aca="false">(1+Inputs!$D$13)^(AJ$3-1)</f>
        <v>1.1025</v>
      </c>
      <c r="AK18" s="25" t="n">
        <f aca="false">(1+Inputs!$D$13)^(AK$3-1)</f>
        <v>1.1025</v>
      </c>
      <c r="AL18" s="25" t="n">
        <f aca="false">(1+Inputs!$D$13)^(AL$3-1)</f>
        <v>1.1025</v>
      </c>
    </row>
    <row r="19" customFormat="false" ht="15" hidden="false" customHeight="false" outlineLevel="0" collapsed="false">
      <c r="A19" s="2" t="s">
        <v>205</v>
      </c>
      <c r="B19" s="4"/>
      <c r="C19" s="11" t="n">
        <f aca="false">(C12*Inputs!$D$10+C13*Inputs!$D$8)*C18</f>
        <v>0</v>
      </c>
      <c r="D19" s="11" t="n">
        <f aca="false">(D12*Inputs!$D$10+D13*Inputs!$D$8)*D18</f>
        <v>0</v>
      </c>
      <c r="E19" s="11" t="n">
        <f aca="false">(E12*Inputs!$D$10+E13*Inputs!$D$8)*E18</f>
        <v>0</v>
      </c>
      <c r="F19" s="11" t="n">
        <f aca="false">(F12*Inputs!$D$10+F13*Inputs!$D$8)*F18</f>
        <v>3000</v>
      </c>
      <c r="G19" s="11" t="n">
        <f aca="false">(G12*Inputs!$D$10+G13*Inputs!$D$8)*G18</f>
        <v>3000</v>
      </c>
      <c r="H19" s="11" t="n">
        <f aca="false">(H12*Inputs!$D$10+H13*Inputs!$D$8)*H18</f>
        <v>3000</v>
      </c>
      <c r="I19" s="11" t="n">
        <f aca="false">(I12*Inputs!$D$10+I13*Inputs!$D$8)*I18</f>
        <v>3000</v>
      </c>
      <c r="J19" s="11" t="n">
        <f aca="false">(J12*Inputs!$D$10+J13*Inputs!$D$8)*J18</f>
        <v>3000</v>
      </c>
      <c r="K19" s="11" t="n">
        <f aca="false">(K12*Inputs!$D$10+K13*Inputs!$D$8)*K18</f>
        <v>3000</v>
      </c>
      <c r="L19" s="11" t="n">
        <f aca="false">(L12*Inputs!$D$10+L13*Inputs!$D$8)*L18</f>
        <v>5500</v>
      </c>
      <c r="M19" s="11" t="n">
        <f aca="false">(M12*Inputs!$D$10+M13*Inputs!$D$8)*M18</f>
        <v>5500</v>
      </c>
      <c r="N19" s="11" t="n">
        <f aca="false">(N12*Inputs!$D$10+N13*Inputs!$D$8)*N18</f>
        <v>5500</v>
      </c>
      <c r="O19" s="11" t="n">
        <f aca="false">(O12*Inputs!$D$10+O13*Inputs!$D$8)*O18</f>
        <v>8400</v>
      </c>
      <c r="P19" s="11" t="n">
        <f aca="false">(P12*Inputs!$D$10+P13*Inputs!$D$8)*P18</f>
        <v>8400</v>
      </c>
      <c r="Q19" s="11" t="n">
        <f aca="false">(Q12*Inputs!$D$10+Q13*Inputs!$D$8)*Q18</f>
        <v>8400</v>
      </c>
      <c r="R19" s="11" t="n">
        <f aca="false">(R12*Inputs!$D$10+R13*Inputs!$D$8)*R18</f>
        <v>11025</v>
      </c>
      <c r="S19" s="11" t="n">
        <f aca="false">(S12*Inputs!$D$10+S13*Inputs!$D$8)*S18</f>
        <v>11025</v>
      </c>
      <c r="T19" s="11" t="n">
        <f aca="false">(T12*Inputs!$D$10+T13*Inputs!$D$8)*T18</f>
        <v>11025</v>
      </c>
      <c r="U19" s="11" t="n">
        <f aca="false">(U12*Inputs!$D$10+U13*Inputs!$D$8)*U18</f>
        <v>11025</v>
      </c>
      <c r="V19" s="11" t="n">
        <f aca="false">(V12*Inputs!$D$10+V13*Inputs!$D$8)*V18</f>
        <v>13650</v>
      </c>
      <c r="W19" s="11" t="n">
        <f aca="false">(W12*Inputs!$D$10+W13*Inputs!$D$8)*W18</f>
        <v>13650</v>
      </c>
      <c r="X19" s="11" t="n">
        <f aca="false">(X12*Inputs!$D$10+X13*Inputs!$D$8)*X18</f>
        <v>13650</v>
      </c>
      <c r="Y19" s="11" t="n">
        <f aca="false">(Y12*Inputs!$D$10+Y13*Inputs!$D$8)*Y18</f>
        <v>16275</v>
      </c>
      <c r="Z19" s="11" t="n">
        <f aca="false">(Z12*Inputs!$D$10+Z13*Inputs!$D$8)*Z18</f>
        <v>16275</v>
      </c>
      <c r="AA19" s="11" t="n">
        <f aca="false">(AA12*Inputs!$D$10+AA13*Inputs!$D$8)*AA18</f>
        <v>19845</v>
      </c>
      <c r="AB19" s="11" t="n">
        <f aca="false">(AB12*Inputs!$D$10+AB13*Inputs!$D$8)*AB18</f>
        <v>19845</v>
      </c>
      <c r="AC19" s="11" t="n">
        <f aca="false">(AC12*Inputs!$D$10+AC13*Inputs!$D$8)*AC18</f>
        <v>22601.25</v>
      </c>
      <c r="AD19" s="11" t="n">
        <f aca="false">(AD12*Inputs!$D$10+AD13*Inputs!$D$8)*AD18</f>
        <v>25357.5</v>
      </c>
      <c r="AE19" s="11" t="n">
        <f aca="false">(AE12*Inputs!$D$10+AE13*Inputs!$D$8)*AE18</f>
        <v>25357.5</v>
      </c>
      <c r="AF19" s="11" t="n">
        <f aca="false">(AF12*Inputs!$D$10+AF13*Inputs!$D$8)*AF18</f>
        <v>25357.5</v>
      </c>
      <c r="AG19" s="11" t="n">
        <f aca="false">(AG12*Inputs!$D$10+AG13*Inputs!$D$8)*AG18</f>
        <v>28113.75</v>
      </c>
      <c r="AH19" s="11" t="n">
        <f aca="false">(AH12*Inputs!$D$10+AH13*Inputs!$D$8)*AH18</f>
        <v>28113.75</v>
      </c>
      <c r="AI19" s="11" t="n">
        <f aca="false">(AI12*Inputs!$D$10+AI13*Inputs!$D$8)*AI18</f>
        <v>28113.75</v>
      </c>
      <c r="AJ19" s="11" t="n">
        <f aca="false">(AJ12*Inputs!$D$10+AJ13*Inputs!$D$8)*AJ18</f>
        <v>30870</v>
      </c>
      <c r="AK19" s="11" t="n">
        <f aca="false">(AK12*Inputs!$D$10+AK13*Inputs!$D$8)*AK18</f>
        <v>30870</v>
      </c>
      <c r="AL19" s="11" t="n">
        <f aca="false">(AL12*Inputs!$D$10+AL13*Inputs!$D$8)*AL18</f>
        <v>33626.25</v>
      </c>
    </row>
    <row r="20" customFormat="false" ht="15" hidden="false" customHeight="false" outlineLevel="0" collapsed="false">
      <c r="A20" s="2" t="s">
        <v>112</v>
      </c>
      <c r="B20" s="4"/>
      <c r="C20" s="11" t="n">
        <f aca="false">C14*Inputs!$D$14*Inputs!$D$15*C18</f>
        <v>0</v>
      </c>
      <c r="D20" s="11" t="n">
        <f aca="false">D14*Inputs!$D$14*Inputs!$D$15*D18</f>
        <v>0</v>
      </c>
      <c r="E20" s="11" t="n">
        <f aca="false">E14*Inputs!$D$14*Inputs!$D$15*E18</f>
        <v>0</v>
      </c>
      <c r="F20" s="11" t="n">
        <f aca="false">F14*Inputs!$D$14*Inputs!$D$15*F18</f>
        <v>0</v>
      </c>
      <c r="G20" s="11" t="n">
        <f aca="false">G14*Inputs!$D$14*Inputs!$D$15*G18</f>
        <v>0</v>
      </c>
      <c r="H20" s="11" t="n">
        <f aca="false">H14*Inputs!$D$14*Inputs!$D$15*H18</f>
        <v>250</v>
      </c>
      <c r="I20" s="11" t="n">
        <f aca="false">I14*Inputs!$D$14*Inputs!$D$15*I18</f>
        <v>250</v>
      </c>
      <c r="J20" s="11" t="n">
        <f aca="false">J14*Inputs!$D$14*Inputs!$D$15*J18</f>
        <v>250</v>
      </c>
      <c r="K20" s="11" t="n">
        <f aca="false">K14*Inputs!$D$14*Inputs!$D$15*K18</f>
        <v>250</v>
      </c>
      <c r="L20" s="11" t="n">
        <f aca="false">L14*Inputs!$D$14*Inputs!$D$15*L18</f>
        <v>250</v>
      </c>
      <c r="M20" s="11" t="n">
        <f aca="false">M14*Inputs!$D$14*Inputs!$D$15*M18</f>
        <v>250</v>
      </c>
      <c r="N20" s="11" t="n">
        <f aca="false">N14*Inputs!$D$14*Inputs!$D$15*N18</f>
        <v>500</v>
      </c>
      <c r="O20" s="11" t="n">
        <f aca="false">O14*Inputs!$D$14*Inputs!$D$15*O18</f>
        <v>525</v>
      </c>
      <c r="P20" s="11" t="n">
        <f aca="false">P14*Inputs!$D$14*Inputs!$D$15*P18</f>
        <v>525</v>
      </c>
      <c r="Q20" s="11" t="n">
        <f aca="false">Q14*Inputs!$D$14*Inputs!$D$15*Q18</f>
        <v>787.5</v>
      </c>
      <c r="R20" s="11" t="n">
        <f aca="false">R14*Inputs!$D$14*Inputs!$D$15*R18</f>
        <v>787.5</v>
      </c>
      <c r="S20" s="11" t="n">
        <f aca="false">S14*Inputs!$D$14*Inputs!$D$15*S18</f>
        <v>787.5</v>
      </c>
      <c r="T20" s="11" t="n">
        <f aca="false">T14*Inputs!$D$14*Inputs!$D$15*T18</f>
        <v>1050</v>
      </c>
      <c r="U20" s="11" t="n">
        <f aca="false">U14*Inputs!$D$14*Inputs!$D$15*U18</f>
        <v>1050</v>
      </c>
      <c r="V20" s="11" t="n">
        <f aca="false">V14*Inputs!$D$14*Inputs!$D$15*V18</f>
        <v>1050</v>
      </c>
      <c r="W20" s="11" t="n">
        <f aca="false">W14*Inputs!$D$14*Inputs!$D$15*W18</f>
        <v>1050</v>
      </c>
      <c r="X20" s="11" t="n">
        <f aca="false">X14*Inputs!$D$14*Inputs!$D$15*X18</f>
        <v>1312.5</v>
      </c>
      <c r="Y20" s="11" t="n">
        <f aca="false">Y14*Inputs!$D$14*Inputs!$D$15*Y18</f>
        <v>1312.5</v>
      </c>
      <c r="Z20" s="11" t="n">
        <f aca="false">Z14*Inputs!$D$14*Inputs!$D$15*Z18</f>
        <v>1312.5</v>
      </c>
      <c r="AA20" s="11" t="n">
        <f aca="false">AA14*Inputs!$D$14*Inputs!$D$15*AA18</f>
        <v>1653.75</v>
      </c>
      <c r="AB20" s="11" t="n">
        <f aca="false">AB14*Inputs!$D$14*Inputs!$D$15*AB18</f>
        <v>1653.75</v>
      </c>
      <c r="AC20" s="11" t="n">
        <f aca="false">AC14*Inputs!$D$14*Inputs!$D$15*AC18</f>
        <v>1929.375</v>
      </c>
      <c r="AD20" s="11" t="n">
        <f aca="false">AD14*Inputs!$D$14*Inputs!$D$15*AD18</f>
        <v>1929.375</v>
      </c>
      <c r="AE20" s="11" t="n">
        <f aca="false">AE14*Inputs!$D$14*Inputs!$D$15*AE18</f>
        <v>2205</v>
      </c>
      <c r="AF20" s="11" t="n">
        <f aca="false">AF14*Inputs!$D$14*Inputs!$D$15*AF18</f>
        <v>2480.625</v>
      </c>
      <c r="AG20" s="11" t="n">
        <f aca="false">AG14*Inputs!$D$14*Inputs!$D$15*AG18</f>
        <v>2480.625</v>
      </c>
      <c r="AH20" s="11" t="n">
        <f aca="false">AH14*Inputs!$D$14*Inputs!$D$15*AH18</f>
        <v>2480.625</v>
      </c>
      <c r="AI20" s="11" t="n">
        <f aca="false">AI14*Inputs!$D$14*Inputs!$D$15*AI18</f>
        <v>2756.25</v>
      </c>
      <c r="AJ20" s="11" t="n">
        <f aca="false">AJ14*Inputs!$D$14*Inputs!$D$15*AJ18</f>
        <v>2756.25</v>
      </c>
      <c r="AK20" s="11" t="n">
        <f aca="false">AK14*Inputs!$D$14*Inputs!$D$15*AK18</f>
        <v>2756.25</v>
      </c>
      <c r="AL20" s="11" t="n">
        <f aca="false">AL14*Inputs!$D$14*Inputs!$D$15*AL18</f>
        <v>3031.875</v>
      </c>
    </row>
    <row r="21" customFormat="false" ht="15" hidden="false" customHeight="false" outlineLevel="0" collapsed="false">
      <c r="A21" s="2" t="s">
        <v>206</v>
      </c>
      <c r="B21" s="4"/>
      <c r="C21" s="11" t="n">
        <f aca="false">C8*Inputs!$D$9*Inputs!$D$11+C9*Inputs!$D$9*(1-Inputs!$D$11)+C7*Inputs!$D$7*Inputs!$D$11+C10*Inputs!$D$7*(1-Inputs!$D$11)</f>
        <v>10000</v>
      </c>
      <c r="D21" s="11" t="n">
        <f aca="false">D8*Inputs!$D$9*Inputs!$D$11+D9*Inputs!$D$9*(1-Inputs!$D$11)+D7*Inputs!$D$7*Inputs!$D$11+D10*Inputs!$D$7*(1-Inputs!$D$11)</f>
        <v>0</v>
      </c>
      <c r="E21" s="11" t="n">
        <f aca="false">E8*Inputs!$D$9*Inputs!$D$11+E9*Inputs!$D$9*(1-Inputs!$D$11)+E7*Inputs!$D$7*Inputs!$D$11+E10*Inputs!$D$7*(1-Inputs!$D$11)</f>
        <v>10000</v>
      </c>
      <c r="F21" s="11" t="n">
        <f aca="false">F8*Inputs!$D$9*Inputs!$D$11+F9*Inputs!$D$9*(1-Inputs!$D$11)+F7*Inputs!$D$7*Inputs!$D$11+F10*Inputs!$D$7*(1-Inputs!$D$11)</f>
        <v>0</v>
      </c>
      <c r="G21" s="11" t="n">
        <f aca="false">G8*Inputs!$D$9*Inputs!$D$11+G9*Inputs!$D$9*(1-Inputs!$D$11)+G7*Inputs!$D$7*Inputs!$D$11+G10*Inputs!$D$7*(1-Inputs!$D$11)</f>
        <v>0</v>
      </c>
      <c r="H21" s="11" t="n">
        <f aca="false">H8*Inputs!$D$9*Inputs!$D$11+H9*Inputs!$D$9*(1-Inputs!$D$11)+H7*Inputs!$D$7*Inputs!$D$11+H10*Inputs!$D$7*(1-Inputs!$D$11)</f>
        <v>0</v>
      </c>
      <c r="I21" s="11" t="n">
        <f aca="false">I8*Inputs!$D$9*Inputs!$D$11+I9*Inputs!$D$9*(1-Inputs!$D$11)+I7*Inputs!$D$7*Inputs!$D$11+I10*Inputs!$D$7*(1-Inputs!$D$11)</f>
        <v>7500</v>
      </c>
      <c r="J21" s="11" t="n">
        <f aca="false">J8*Inputs!$D$9*Inputs!$D$11+J9*Inputs!$D$9*(1-Inputs!$D$11)+J7*Inputs!$D$7*Inputs!$D$11+J10*Inputs!$D$7*(1-Inputs!$D$11)</f>
        <v>0</v>
      </c>
      <c r="K21" s="11" t="n">
        <f aca="false">K8*Inputs!$D$9*Inputs!$D$11+K9*Inputs!$D$9*(1-Inputs!$D$11)+K7*Inputs!$D$7*Inputs!$D$11+K10*Inputs!$D$7*(1-Inputs!$D$11)</f>
        <v>7500</v>
      </c>
      <c r="L21" s="11" t="n">
        <f aca="false">L8*Inputs!$D$9*Inputs!$D$11+L9*Inputs!$D$9*(1-Inputs!$D$11)+L7*Inputs!$D$7*Inputs!$D$11+L10*Inputs!$D$7*(1-Inputs!$D$11)</f>
        <v>7500</v>
      </c>
      <c r="M21" s="11" t="n">
        <f aca="false">M8*Inputs!$D$9*Inputs!$D$11+M9*Inputs!$D$9*(1-Inputs!$D$11)+M7*Inputs!$D$7*Inputs!$D$11+M10*Inputs!$D$7*(1-Inputs!$D$11)</f>
        <v>0</v>
      </c>
      <c r="N21" s="11" t="n">
        <f aca="false">N8*Inputs!$D$9*Inputs!$D$11+N9*Inputs!$D$9*(1-Inputs!$D$11)+N7*Inputs!$D$7*Inputs!$D$11+N10*Inputs!$D$7*(1-Inputs!$D$11)</f>
        <v>7500</v>
      </c>
      <c r="O21" s="11" t="n">
        <f aca="false">O8*Inputs!$D$9*Inputs!$D$11+O9*Inputs!$D$9*(1-Inputs!$D$11)+O7*Inputs!$D$7*Inputs!$D$11+O10*Inputs!$D$7*(1-Inputs!$D$11)</f>
        <v>7500</v>
      </c>
      <c r="P21" s="11" t="n">
        <f aca="false">P8*Inputs!$D$9*Inputs!$D$11+P9*Inputs!$D$9*(1-Inputs!$D$11)+P7*Inputs!$D$7*Inputs!$D$11+P10*Inputs!$D$7*(1-Inputs!$D$11)</f>
        <v>0</v>
      </c>
      <c r="Q21" s="11" t="n">
        <f aca="false">Q8*Inputs!$D$9*Inputs!$D$11+Q9*Inputs!$D$9*(1-Inputs!$D$11)+Q7*Inputs!$D$7*Inputs!$D$11+Q10*Inputs!$D$7*(1-Inputs!$D$11)</f>
        <v>7500</v>
      </c>
      <c r="R21" s="11" t="n">
        <f aca="false">R8*Inputs!$D$9*Inputs!$D$11+R9*Inputs!$D$9*(1-Inputs!$D$11)+R7*Inputs!$D$7*Inputs!$D$11+R10*Inputs!$D$7*(1-Inputs!$D$11)</f>
        <v>0</v>
      </c>
      <c r="S21" s="11" t="n">
        <f aca="false">S8*Inputs!$D$9*Inputs!$D$11+S9*Inputs!$D$9*(1-Inputs!$D$11)+S7*Inputs!$D$7*Inputs!$D$11+S10*Inputs!$D$7*(1-Inputs!$D$11)</f>
        <v>7500</v>
      </c>
      <c r="T21" s="11" t="n">
        <f aca="false">T8*Inputs!$D$9*Inputs!$D$11+T9*Inputs!$D$9*(1-Inputs!$D$11)+T7*Inputs!$D$7*Inputs!$D$11+T10*Inputs!$D$7*(1-Inputs!$D$11)</f>
        <v>0</v>
      </c>
      <c r="U21" s="11" t="n">
        <f aca="false">U8*Inputs!$D$9*Inputs!$D$11+U9*Inputs!$D$9*(1-Inputs!$D$11)+U7*Inputs!$D$7*Inputs!$D$11+U10*Inputs!$D$7*(1-Inputs!$D$11)</f>
        <v>7500</v>
      </c>
      <c r="V21" s="11" t="n">
        <f aca="false">V8*Inputs!$D$9*Inputs!$D$11+V9*Inputs!$D$9*(1-Inputs!$D$11)+V7*Inputs!$D$7*Inputs!$D$11+V10*Inputs!$D$7*(1-Inputs!$D$11)</f>
        <v>7500</v>
      </c>
      <c r="W21" s="11" t="n">
        <f aca="false">W8*Inputs!$D$9*Inputs!$D$11+W9*Inputs!$D$9*(1-Inputs!$D$11)+W7*Inputs!$D$7*Inputs!$D$11+W10*Inputs!$D$7*(1-Inputs!$D$11)</f>
        <v>0</v>
      </c>
      <c r="X21" s="11" t="n">
        <f aca="false">X8*Inputs!$D$9*Inputs!$D$11+X9*Inputs!$D$9*(1-Inputs!$D$11)+X7*Inputs!$D$7*Inputs!$D$11+X10*Inputs!$D$7*(1-Inputs!$D$11)</f>
        <v>15000</v>
      </c>
      <c r="Y21" s="11" t="n">
        <f aca="false">Y8*Inputs!$D$9*Inputs!$D$11+Y9*Inputs!$D$9*(1-Inputs!$D$11)+Y7*Inputs!$D$7*Inputs!$D$11+Y10*Inputs!$D$7*(1-Inputs!$D$11)</f>
        <v>0</v>
      </c>
      <c r="Z21" s="11" t="n">
        <f aca="false">Z8*Inputs!$D$9*Inputs!$D$11+Z9*Inputs!$D$9*(1-Inputs!$D$11)+Z7*Inputs!$D$7*Inputs!$D$11+Z10*Inputs!$D$7*(1-Inputs!$D$11)</f>
        <v>15000</v>
      </c>
      <c r="AA21" s="11" t="n">
        <f aca="false">AA8*Inputs!$D$9*Inputs!$D$11+AA9*Inputs!$D$9*(1-Inputs!$D$11)+AA7*Inputs!$D$7*Inputs!$D$11+AA10*Inputs!$D$7*(1-Inputs!$D$11)</f>
        <v>7500</v>
      </c>
      <c r="AB21" s="11" t="n">
        <f aca="false">AB8*Inputs!$D$9*Inputs!$D$11+AB9*Inputs!$D$9*(1-Inputs!$D$11)+AB7*Inputs!$D$7*Inputs!$D$11+AB10*Inputs!$D$7*(1-Inputs!$D$11)</f>
        <v>7500</v>
      </c>
      <c r="AC21" s="11" t="n">
        <f aca="false">AC8*Inputs!$D$9*Inputs!$D$11+AC9*Inputs!$D$9*(1-Inputs!$D$11)+AC7*Inputs!$D$7*Inputs!$D$11+AC10*Inputs!$D$7*(1-Inputs!$D$11)</f>
        <v>7500</v>
      </c>
      <c r="AD21" s="11" t="n">
        <f aca="false">AD8*Inputs!$D$9*Inputs!$D$11+AD9*Inputs!$D$9*(1-Inputs!$D$11)+AD7*Inputs!$D$7*Inputs!$D$11+AD10*Inputs!$D$7*(1-Inputs!$D$11)</f>
        <v>7500</v>
      </c>
      <c r="AE21" s="11" t="n">
        <f aca="false">AE8*Inputs!$D$9*Inputs!$D$11+AE9*Inputs!$D$9*(1-Inputs!$D$11)+AE7*Inputs!$D$7*Inputs!$D$11+AE10*Inputs!$D$7*(1-Inputs!$D$11)</f>
        <v>0</v>
      </c>
      <c r="AF21" s="11" t="n">
        <f aca="false">AF8*Inputs!$D$9*Inputs!$D$11+AF9*Inputs!$D$9*(1-Inputs!$D$11)+AF7*Inputs!$D$7*Inputs!$D$11+AF10*Inputs!$D$7*(1-Inputs!$D$11)</f>
        <v>7500</v>
      </c>
      <c r="AG21" s="11" t="n">
        <f aca="false">AG8*Inputs!$D$9*Inputs!$D$11+AG9*Inputs!$D$9*(1-Inputs!$D$11)+AG7*Inputs!$D$7*Inputs!$D$11+AG10*Inputs!$D$7*(1-Inputs!$D$11)</f>
        <v>7500</v>
      </c>
      <c r="AH21" s="11" t="n">
        <f aca="false">AH8*Inputs!$D$9*Inputs!$D$11+AH9*Inputs!$D$9*(1-Inputs!$D$11)+AH7*Inputs!$D$7*Inputs!$D$11+AH10*Inputs!$D$7*(1-Inputs!$D$11)</f>
        <v>0</v>
      </c>
      <c r="AI21" s="11" t="n">
        <f aca="false">AI8*Inputs!$D$9*Inputs!$D$11+AI9*Inputs!$D$9*(1-Inputs!$D$11)+AI7*Inputs!$D$7*Inputs!$D$11+AI10*Inputs!$D$7*(1-Inputs!$D$11)</f>
        <v>15000</v>
      </c>
      <c r="AJ21" s="11" t="n">
        <f aca="false">AJ8*Inputs!$D$9*Inputs!$D$11+AJ9*Inputs!$D$9*(1-Inputs!$D$11)+AJ7*Inputs!$D$7*Inputs!$D$11+AJ10*Inputs!$D$7*(1-Inputs!$D$11)</f>
        <v>7500</v>
      </c>
      <c r="AK21" s="11" t="n">
        <f aca="false">AK8*Inputs!$D$9*Inputs!$D$11+AK9*Inputs!$D$9*(1-Inputs!$D$11)+AK7*Inputs!$D$7*Inputs!$D$11+AK10*Inputs!$D$7*(1-Inputs!$D$11)</f>
        <v>7500</v>
      </c>
      <c r="AL21" s="11" t="n">
        <f aca="false">AL8*Inputs!$D$9*Inputs!$D$11+AL9*Inputs!$D$9*(1-Inputs!$D$11)+AL7*Inputs!$D$7*Inputs!$D$11+AL10*Inputs!$D$7*(1-Inputs!$D$11)</f>
        <v>15000</v>
      </c>
    </row>
    <row r="22" customFormat="false" ht="15" hidden="false" customHeight="false" outlineLevel="0" collapsed="false">
      <c r="A22" s="2" t="s">
        <v>113</v>
      </c>
      <c r="B22" s="4"/>
      <c r="C22" s="11" t="n">
        <f aca="false">(C9+C10)*Inputs!$D$17*Inputs!$D$18</f>
        <v>0</v>
      </c>
      <c r="D22" s="11" t="n">
        <f aca="false">(D9+D10)*Inputs!$D$17*Inputs!$D$18</f>
        <v>0</v>
      </c>
      <c r="E22" s="11" t="n">
        <f aca="false">(E9+E10)*Inputs!$D$17*Inputs!$D$18</f>
        <v>2240</v>
      </c>
      <c r="F22" s="11" t="n">
        <f aca="false">(F9+F10)*Inputs!$D$17*Inputs!$D$18</f>
        <v>0</v>
      </c>
      <c r="G22" s="11" t="n">
        <f aca="false">(G9+G10)*Inputs!$D$17*Inputs!$D$18</f>
        <v>0</v>
      </c>
      <c r="H22" s="11" t="n">
        <f aca="false">(H9+H10)*Inputs!$D$17*Inputs!$D$18</f>
        <v>0</v>
      </c>
      <c r="I22" s="11" t="n">
        <f aca="false">(I9+I10)*Inputs!$D$17*Inputs!$D$18</f>
        <v>0</v>
      </c>
      <c r="J22" s="11" t="n">
        <f aca="false">(J9+J10)*Inputs!$D$17*Inputs!$D$18</f>
        <v>0</v>
      </c>
      <c r="K22" s="11" t="n">
        <f aca="false">(K9+K10)*Inputs!$D$17*Inputs!$D$18</f>
        <v>2240</v>
      </c>
      <c r="L22" s="11" t="n">
        <f aca="false">(L9+L10)*Inputs!$D$17*Inputs!$D$18</f>
        <v>0</v>
      </c>
      <c r="M22" s="11" t="n">
        <f aca="false">(M9+M10)*Inputs!$D$17*Inputs!$D$18</f>
        <v>0</v>
      </c>
      <c r="N22" s="11" t="n">
        <f aca="false">(N9+N10)*Inputs!$D$17*Inputs!$D$18</f>
        <v>2240</v>
      </c>
      <c r="O22" s="11" t="n">
        <f aca="false">(O9+O10)*Inputs!$D$17*Inputs!$D$18</f>
        <v>0</v>
      </c>
      <c r="P22" s="11" t="n">
        <f aca="false">(P9+P10)*Inputs!$D$17*Inputs!$D$18</f>
        <v>0</v>
      </c>
      <c r="Q22" s="11" t="n">
        <f aca="false">(Q9+Q10)*Inputs!$D$17*Inputs!$D$18</f>
        <v>2240</v>
      </c>
      <c r="R22" s="11" t="n">
        <f aca="false">(R9+R10)*Inputs!$D$17*Inputs!$D$18</f>
        <v>0</v>
      </c>
      <c r="S22" s="11" t="n">
        <f aca="false">(S9+S10)*Inputs!$D$17*Inputs!$D$18</f>
        <v>0</v>
      </c>
      <c r="T22" s="11" t="n">
        <f aca="false">(T9+T10)*Inputs!$D$17*Inputs!$D$18</f>
        <v>0</v>
      </c>
      <c r="U22" s="11" t="n">
        <f aca="false">(U9+U10)*Inputs!$D$17*Inputs!$D$18</f>
        <v>2240</v>
      </c>
      <c r="V22" s="11" t="n">
        <f aca="false">(V9+V10)*Inputs!$D$17*Inputs!$D$18</f>
        <v>0</v>
      </c>
      <c r="W22" s="11" t="n">
        <f aca="false">(W9+W10)*Inputs!$D$17*Inputs!$D$18</f>
        <v>0</v>
      </c>
      <c r="X22" s="11" t="n">
        <f aca="false">(X9+X10)*Inputs!$D$17*Inputs!$D$18</f>
        <v>2240</v>
      </c>
      <c r="Y22" s="11" t="n">
        <f aca="false">(Y9+Y10)*Inputs!$D$17*Inputs!$D$18</f>
        <v>0</v>
      </c>
      <c r="Z22" s="11" t="n">
        <f aca="false">(Z9+Z10)*Inputs!$D$17*Inputs!$D$18</f>
        <v>2240</v>
      </c>
      <c r="AA22" s="11" t="n">
        <f aca="false">(AA9+AA10)*Inputs!$D$17*Inputs!$D$18</f>
        <v>0</v>
      </c>
      <c r="AB22" s="11" t="n">
        <f aca="false">(AB9+AB10)*Inputs!$D$17*Inputs!$D$18</f>
        <v>2240</v>
      </c>
      <c r="AC22" s="11" t="n">
        <f aca="false">(AC9+AC10)*Inputs!$D$17*Inputs!$D$18</f>
        <v>2240</v>
      </c>
      <c r="AD22" s="11" t="n">
        <f aca="false">(AD9+AD10)*Inputs!$D$17*Inputs!$D$18</f>
        <v>0</v>
      </c>
      <c r="AE22" s="11" t="n">
        <f aca="false">(AE9+AE10)*Inputs!$D$17*Inputs!$D$18</f>
        <v>0</v>
      </c>
      <c r="AF22" s="11" t="n">
        <f aca="false">(AF9+AF10)*Inputs!$D$17*Inputs!$D$18</f>
        <v>2240</v>
      </c>
      <c r="AG22" s="11" t="n">
        <f aca="false">(AG9+AG10)*Inputs!$D$17*Inputs!$D$18</f>
        <v>0</v>
      </c>
      <c r="AH22" s="11" t="n">
        <f aca="false">(AH9+AH10)*Inputs!$D$17*Inputs!$D$18</f>
        <v>0</v>
      </c>
      <c r="AI22" s="11" t="n">
        <f aca="false">(AI9+AI10)*Inputs!$D$17*Inputs!$D$18</f>
        <v>2240</v>
      </c>
      <c r="AJ22" s="11" t="n">
        <f aca="false">(AJ9+AJ10)*Inputs!$D$17*Inputs!$D$18</f>
        <v>0</v>
      </c>
      <c r="AK22" s="11" t="n">
        <f aca="false">(AK9+AK10)*Inputs!$D$17*Inputs!$D$18</f>
        <v>2240</v>
      </c>
      <c r="AL22" s="11" t="n">
        <f aca="false">(AL9+AL10)*Inputs!$D$17*Inputs!$D$18</f>
        <v>2240</v>
      </c>
    </row>
    <row r="23" customFormat="false" ht="15" hidden="false" customHeight="false" outlineLevel="0" collapsed="false">
      <c r="A23" s="2" t="s">
        <v>114</v>
      </c>
      <c r="B23" s="4"/>
      <c r="C23" s="11" t="n">
        <f aca="false">C15*Inputs!$D$20+C16*Inputs!$D$21</f>
        <v>0</v>
      </c>
      <c r="D23" s="11" t="n">
        <f aca="false">D15*Inputs!$D$20+D16*Inputs!$D$21</f>
        <v>0</v>
      </c>
      <c r="E23" s="11" t="n">
        <f aca="false">E15*Inputs!$D$20+E16*Inputs!$D$21</f>
        <v>3000</v>
      </c>
      <c r="F23" s="11" t="n">
        <f aca="false">F15*Inputs!$D$20+F16*Inputs!$D$21</f>
        <v>400</v>
      </c>
      <c r="G23" s="11" t="n">
        <f aca="false">G15*Inputs!$D$20+G16*Inputs!$D$21</f>
        <v>400</v>
      </c>
      <c r="H23" s="11" t="n">
        <f aca="false">H15*Inputs!$D$20+H16*Inputs!$D$21</f>
        <v>3400</v>
      </c>
      <c r="I23" s="11" t="n">
        <f aca="false">I15*Inputs!$D$20+I16*Inputs!$D$21</f>
        <v>800</v>
      </c>
      <c r="J23" s="11" t="n">
        <f aca="false">J15*Inputs!$D$20+J16*Inputs!$D$21</f>
        <v>800</v>
      </c>
      <c r="K23" s="11" t="n">
        <f aca="false">K15*Inputs!$D$20+K16*Inputs!$D$21</f>
        <v>3800</v>
      </c>
      <c r="L23" s="11" t="n">
        <f aca="false">L15*Inputs!$D$20+L16*Inputs!$D$21</f>
        <v>1200</v>
      </c>
      <c r="M23" s="11" t="n">
        <f aca="false">M15*Inputs!$D$20+M16*Inputs!$D$21</f>
        <v>4200</v>
      </c>
      <c r="N23" s="11" t="n">
        <f aca="false">N15*Inputs!$D$20+N16*Inputs!$D$21</f>
        <v>1600</v>
      </c>
      <c r="O23" s="11" t="n">
        <f aca="false">O15*Inputs!$D$20+O16*Inputs!$D$21</f>
        <v>1600</v>
      </c>
      <c r="P23" s="11" t="n">
        <f aca="false">P15*Inputs!$D$20+P16*Inputs!$D$21</f>
        <v>4600</v>
      </c>
      <c r="Q23" s="11" t="n">
        <f aca="false">Q15*Inputs!$D$20+Q16*Inputs!$D$21</f>
        <v>2000</v>
      </c>
      <c r="R23" s="11" t="n">
        <f aca="false">R15*Inputs!$D$20+R16*Inputs!$D$21</f>
        <v>5000</v>
      </c>
      <c r="S23" s="11" t="n">
        <f aca="false">S15*Inputs!$D$20+S16*Inputs!$D$21</f>
        <v>2400</v>
      </c>
      <c r="T23" s="11" t="n">
        <f aca="false">T15*Inputs!$D$20+T16*Inputs!$D$21</f>
        <v>5400</v>
      </c>
      <c r="U23" s="11" t="n">
        <f aca="false">U15*Inputs!$D$20+U16*Inputs!$D$21</f>
        <v>2800</v>
      </c>
      <c r="V23" s="11" t="n">
        <f aca="false">V15*Inputs!$D$20+V16*Inputs!$D$21</f>
        <v>5800</v>
      </c>
      <c r="W23" s="11" t="n">
        <f aca="false">W15*Inputs!$D$20+W16*Inputs!$D$21</f>
        <v>3200</v>
      </c>
      <c r="X23" s="11" t="n">
        <f aca="false">X15*Inputs!$D$20+X16*Inputs!$D$21</f>
        <v>6200</v>
      </c>
      <c r="Y23" s="11" t="n">
        <f aca="false">Y15*Inputs!$D$20+Y16*Inputs!$D$21</f>
        <v>3600</v>
      </c>
      <c r="Z23" s="11" t="n">
        <f aca="false">Z15*Inputs!$D$20+Z16*Inputs!$D$21</f>
        <v>3600</v>
      </c>
      <c r="AA23" s="11" t="n">
        <f aca="false">AA15*Inputs!$D$20+AA16*Inputs!$D$21</f>
        <v>3600</v>
      </c>
      <c r="AB23" s="11" t="n">
        <f aca="false">AB15*Inputs!$D$20+AB16*Inputs!$D$21</f>
        <v>6600</v>
      </c>
      <c r="AC23" s="11" t="n">
        <f aca="false">AC15*Inputs!$D$20+AC16*Inputs!$D$21</f>
        <v>4000</v>
      </c>
      <c r="AD23" s="11" t="n">
        <f aca="false">AD15*Inputs!$D$20+AD16*Inputs!$D$21</f>
        <v>4000</v>
      </c>
      <c r="AE23" s="11" t="n">
        <f aca="false">AE15*Inputs!$D$20+AE16*Inputs!$D$21</f>
        <v>4000</v>
      </c>
      <c r="AF23" s="11" t="n">
        <f aca="false">AF15*Inputs!$D$20+AF16*Inputs!$D$21</f>
        <v>7000</v>
      </c>
      <c r="AG23" s="11" t="n">
        <f aca="false">AG15*Inputs!$D$20+AG16*Inputs!$D$21</f>
        <v>4400</v>
      </c>
      <c r="AH23" s="11" t="n">
        <f aca="false">AH15*Inputs!$D$20+AH16*Inputs!$D$21</f>
        <v>4400</v>
      </c>
      <c r="AI23" s="11" t="n">
        <f aca="false">AI15*Inputs!$D$20+AI16*Inputs!$D$21</f>
        <v>4400</v>
      </c>
      <c r="AJ23" s="11" t="n">
        <f aca="false">AJ15*Inputs!$D$20+AJ16*Inputs!$D$21</f>
        <v>7400</v>
      </c>
      <c r="AK23" s="11" t="n">
        <f aca="false">AK15*Inputs!$D$20+AK16*Inputs!$D$21</f>
        <v>4800</v>
      </c>
      <c r="AL23" s="11" t="n">
        <f aca="false">AL15*Inputs!$D$20+AL16*Inputs!$D$21</f>
        <v>4800</v>
      </c>
    </row>
    <row r="24" customFormat="false" ht="15" hidden="false" customHeight="false" outlineLevel="0" collapsed="false">
      <c r="A24" s="2" t="s">
        <v>116</v>
      </c>
      <c r="B24" s="4"/>
      <c r="C24" s="7" t="n">
        <f aca="false">Schedules!C13</f>
        <v>0</v>
      </c>
      <c r="D24" s="7" t="n">
        <f aca="false">Schedules!D13</f>
        <v>0</v>
      </c>
      <c r="E24" s="7" t="n">
        <f aca="false">Schedules!E13</f>
        <v>0</v>
      </c>
      <c r="F24" s="7" t="n">
        <f aca="false">Schedules!F13</f>
        <v>0</v>
      </c>
      <c r="G24" s="7" t="n">
        <f aca="false">Schedules!G13</f>
        <v>0</v>
      </c>
      <c r="H24" s="7" t="n">
        <f aca="false">Schedules!H13</f>
        <v>0</v>
      </c>
      <c r="I24" s="7" t="n">
        <f aca="false">Schedules!I13</f>
        <v>0</v>
      </c>
      <c r="J24" s="7" t="n">
        <f aca="false">Schedules!J13</f>
        <v>0</v>
      </c>
      <c r="K24" s="7" t="n">
        <f aca="false">Schedules!K13</f>
        <v>0</v>
      </c>
      <c r="L24" s="7" t="n">
        <f aca="false">Schedules!L13</f>
        <v>0</v>
      </c>
      <c r="M24" s="7" t="n">
        <f aca="false">Schedules!M13</f>
        <v>0</v>
      </c>
      <c r="N24" s="7" t="n">
        <f aca="false">Schedules!N13</f>
        <v>0</v>
      </c>
      <c r="O24" s="7" t="n">
        <f aca="false">Schedules!O13</f>
        <v>0</v>
      </c>
      <c r="P24" s="7" t="n">
        <f aca="false">Schedules!P13</f>
        <v>0</v>
      </c>
      <c r="Q24" s="7" t="n">
        <f aca="false">Schedules!Q13</f>
        <v>0</v>
      </c>
      <c r="R24" s="7" t="n">
        <f aca="false">Schedules!R13</f>
        <v>0</v>
      </c>
      <c r="S24" s="7" t="n">
        <f aca="false">Schedules!S13</f>
        <v>0</v>
      </c>
      <c r="T24" s="7" t="n">
        <f aca="false">Schedules!T13</f>
        <v>0</v>
      </c>
      <c r="U24" s="7" t="n">
        <f aca="false">Schedules!U13</f>
        <v>0</v>
      </c>
      <c r="V24" s="7" t="n">
        <f aca="false">Schedules!V13</f>
        <v>15000</v>
      </c>
      <c r="W24" s="7" t="n">
        <f aca="false">Schedules!W13</f>
        <v>0</v>
      </c>
      <c r="X24" s="7" t="n">
        <f aca="false">Schedules!X13</f>
        <v>0</v>
      </c>
      <c r="Y24" s="7" t="n">
        <f aca="false">Schedules!Y13</f>
        <v>0</v>
      </c>
      <c r="Z24" s="7" t="n">
        <f aca="false">Schedules!Z13</f>
        <v>0</v>
      </c>
      <c r="AA24" s="7" t="n">
        <f aca="false">Schedules!AA13</f>
        <v>0</v>
      </c>
      <c r="AB24" s="7" t="n">
        <f aca="false">Schedules!AB13</f>
        <v>0</v>
      </c>
      <c r="AC24" s="7" t="n">
        <f aca="false">Schedules!AC13</f>
        <v>0</v>
      </c>
      <c r="AD24" s="7" t="n">
        <f aca="false">Schedules!AD13</f>
        <v>0</v>
      </c>
      <c r="AE24" s="7" t="n">
        <f aca="false">Schedules!AE13</f>
        <v>0</v>
      </c>
      <c r="AF24" s="7" t="n">
        <f aca="false">Schedules!AF13</f>
        <v>20000</v>
      </c>
      <c r="AG24" s="7" t="n">
        <f aca="false">Schedules!AG13</f>
        <v>0</v>
      </c>
      <c r="AH24" s="7" t="n">
        <f aca="false">Schedules!AH13</f>
        <v>0</v>
      </c>
      <c r="AI24" s="7" t="n">
        <f aca="false">Schedules!AI13</f>
        <v>0</v>
      </c>
      <c r="AJ24" s="7" t="n">
        <f aca="false">Schedules!AJ13</f>
        <v>0</v>
      </c>
      <c r="AK24" s="7" t="n">
        <f aca="false">Schedules!AK13</f>
        <v>0</v>
      </c>
      <c r="AL24" s="7" t="n">
        <f aca="false">Schedules!AL13</f>
        <v>0</v>
      </c>
    </row>
    <row r="25" customFormat="false" ht="15" hidden="false" customHeight="false" outlineLevel="0" collapsed="false">
      <c r="A25" s="3" t="s">
        <v>207</v>
      </c>
      <c r="B25" s="4"/>
      <c r="C25" s="11" t="n">
        <f aca="false">SUM(C19:C24)</f>
        <v>10000</v>
      </c>
      <c r="D25" s="11" t="n">
        <f aca="false">SUM(D19:D24)</f>
        <v>0</v>
      </c>
      <c r="E25" s="11" t="n">
        <f aca="false">SUM(E19:E24)</f>
        <v>15240</v>
      </c>
      <c r="F25" s="11" t="n">
        <f aca="false">SUM(F19:F24)</f>
        <v>3400</v>
      </c>
      <c r="G25" s="11" t="n">
        <f aca="false">SUM(G19:G24)</f>
        <v>3400</v>
      </c>
      <c r="H25" s="11" t="n">
        <f aca="false">SUM(H19:H24)</f>
        <v>6650</v>
      </c>
      <c r="I25" s="11" t="n">
        <f aca="false">SUM(I19:I24)</f>
        <v>11550</v>
      </c>
      <c r="J25" s="11" t="n">
        <f aca="false">SUM(J19:J24)</f>
        <v>4050</v>
      </c>
      <c r="K25" s="11" t="n">
        <f aca="false">SUM(K19:K24)</f>
        <v>16790</v>
      </c>
      <c r="L25" s="11" t="n">
        <f aca="false">SUM(L19:L24)</f>
        <v>14450</v>
      </c>
      <c r="M25" s="11" t="n">
        <f aca="false">SUM(M19:M24)</f>
        <v>9950</v>
      </c>
      <c r="N25" s="11" t="n">
        <f aca="false">SUM(N19:N24)</f>
        <v>17340</v>
      </c>
      <c r="O25" s="11" t="n">
        <f aca="false">SUM(O19:O24)</f>
        <v>18025</v>
      </c>
      <c r="P25" s="11" t="n">
        <f aca="false">SUM(P19:P24)</f>
        <v>13525</v>
      </c>
      <c r="Q25" s="11" t="n">
        <f aca="false">SUM(Q19:Q24)</f>
        <v>20927.5</v>
      </c>
      <c r="R25" s="11" t="n">
        <f aca="false">SUM(R19:R24)</f>
        <v>16812.5</v>
      </c>
      <c r="S25" s="11" t="n">
        <f aca="false">SUM(S19:S24)</f>
        <v>21712.5</v>
      </c>
      <c r="T25" s="11" t="n">
        <f aca="false">SUM(T19:T24)</f>
        <v>17475</v>
      </c>
      <c r="U25" s="11" t="n">
        <f aca="false">SUM(U19:U24)</f>
        <v>24615</v>
      </c>
      <c r="V25" s="11" t="n">
        <f aca="false">SUM(V19:V24)</f>
        <v>43000</v>
      </c>
      <c r="W25" s="11" t="n">
        <f aca="false">SUM(W19:W24)</f>
        <v>17900</v>
      </c>
      <c r="X25" s="11" t="n">
        <f aca="false">SUM(X19:X24)</f>
        <v>38402.5</v>
      </c>
      <c r="Y25" s="11" t="n">
        <f aca="false">SUM(Y19:Y24)</f>
        <v>21187.5</v>
      </c>
      <c r="Z25" s="11" t="n">
        <f aca="false">SUM(Z19:Z24)</f>
        <v>38427.5</v>
      </c>
      <c r="AA25" s="11" t="n">
        <f aca="false">SUM(AA19:AA24)</f>
        <v>32598.75</v>
      </c>
      <c r="AB25" s="11" t="n">
        <f aca="false">SUM(AB19:AB24)</f>
        <v>37838.75</v>
      </c>
      <c r="AC25" s="11" t="n">
        <f aca="false">SUM(AC19:AC24)</f>
        <v>38270.625</v>
      </c>
      <c r="AD25" s="11" t="n">
        <f aca="false">SUM(AD19:AD24)</f>
        <v>38786.875</v>
      </c>
      <c r="AE25" s="11" t="n">
        <f aca="false">SUM(AE19:AE24)</f>
        <v>31562.5</v>
      </c>
      <c r="AF25" s="11" t="n">
        <f aca="false">SUM(AF19:AF24)</f>
        <v>64578.125</v>
      </c>
      <c r="AG25" s="11" t="n">
        <f aca="false">SUM(AG19:AG24)</f>
        <v>42494.375</v>
      </c>
      <c r="AH25" s="11" t="n">
        <f aca="false">SUM(AH19:AH24)</f>
        <v>34994.375</v>
      </c>
      <c r="AI25" s="11" t="n">
        <f aca="false">SUM(AI19:AI24)</f>
        <v>52510</v>
      </c>
      <c r="AJ25" s="11" t="n">
        <f aca="false">SUM(AJ19:AJ24)</f>
        <v>48526.25</v>
      </c>
      <c r="AK25" s="11" t="n">
        <f aca="false">SUM(AK19:AK24)</f>
        <v>48166.25</v>
      </c>
      <c r="AL25" s="11" t="n">
        <f aca="false">SUM(AL19:AL24)</f>
        <v>58698.125</v>
      </c>
    </row>
    <row r="26" customFormat="false" ht="15" hidden="false" customHeight="false" outlineLevel="0" collapsed="false">
      <c r="A26" s="3" t="s">
        <v>208</v>
      </c>
      <c r="B26" s="4"/>
      <c r="C26" s="11" t="n">
        <f aca="false">C19+C20+C16*Inputs!$D$21</f>
        <v>0</v>
      </c>
      <c r="D26" s="11" t="n">
        <f aca="false">D19+D20+D16*Inputs!$D$21</f>
        <v>0</v>
      </c>
      <c r="E26" s="11" t="n">
        <f aca="false">E19+E20+E16*Inputs!$D$21</f>
        <v>0</v>
      </c>
      <c r="F26" s="11" t="n">
        <f aca="false">F19+F20+F16*Inputs!$D$21</f>
        <v>3400</v>
      </c>
      <c r="G26" s="11" t="n">
        <f aca="false">G19+G20+G16*Inputs!$D$21</f>
        <v>3400</v>
      </c>
      <c r="H26" s="11" t="n">
        <f aca="false">H19+H20+H16*Inputs!$D$21</f>
        <v>3650</v>
      </c>
      <c r="I26" s="11" t="n">
        <f aca="false">I19+I20+I16*Inputs!$D$21</f>
        <v>4050</v>
      </c>
      <c r="J26" s="11" t="n">
        <f aca="false">J19+J20+J16*Inputs!$D$21</f>
        <v>4050</v>
      </c>
      <c r="K26" s="11" t="n">
        <f aca="false">K19+K20+K16*Inputs!$D$21</f>
        <v>4050</v>
      </c>
      <c r="L26" s="11" t="n">
        <f aca="false">L19+L20+L16*Inputs!$D$21</f>
        <v>6950</v>
      </c>
      <c r="M26" s="11" t="n">
        <f aca="false">M19+M20+M16*Inputs!$D$21</f>
        <v>6950</v>
      </c>
      <c r="N26" s="11" t="n">
        <f aca="false">N19+N20+N16*Inputs!$D$21</f>
        <v>7600</v>
      </c>
      <c r="O26" s="11" t="n">
        <f aca="false">O19+O20+O16*Inputs!$D$21</f>
        <v>10525</v>
      </c>
      <c r="P26" s="11" t="n">
        <f aca="false">P19+P20+P16*Inputs!$D$21</f>
        <v>10525</v>
      </c>
      <c r="Q26" s="11" t="n">
        <f aca="false">Q19+Q20+Q16*Inputs!$D$21</f>
        <v>11187.5</v>
      </c>
      <c r="R26" s="11" t="n">
        <f aca="false">R19+R20+R16*Inputs!$D$21</f>
        <v>13812.5</v>
      </c>
      <c r="S26" s="11" t="n">
        <f aca="false">S19+S20+S16*Inputs!$D$21</f>
        <v>14212.5</v>
      </c>
      <c r="T26" s="11" t="n">
        <f aca="false">T19+T20+T16*Inputs!$D$21</f>
        <v>14475</v>
      </c>
      <c r="U26" s="11" t="n">
        <f aca="false">U19+U20+U16*Inputs!$D$21</f>
        <v>14875</v>
      </c>
      <c r="V26" s="11" t="n">
        <f aca="false">V19+V20+V16*Inputs!$D$21</f>
        <v>17500</v>
      </c>
      <c r="W26" s="11" t="n">
        <f aca="false">W19+W20+W16*Inputs!$D$21</f>
        <v>17900</v>
      </c>
      <c r="X26" s="11" t="n">
        <f aca="false">X19+X20+X16*Inputs!$D$21</f>
        <v>18162.5</v>
      </c>
      <c r="Y26" s="11" t="n">
        <f aca="false">Y19+Y20+Y16*Inputs!$D$21</f>
        <v>21187.5</v>
      </c>
      <c r="Z26" s="11" t="n">
        <f aca="false">Z19+Z20+Z16*Inputs!$D$21</f>
        <v>21187.5</v>
      </c>
      <c r="AA26" s="11" t="n">
        <f aca="false">AA19+AA20+AA16*Inputs!$D$21</f>
        <v>25098.75</v>
      </c>
      <c r="AB26" s="11" t="n">
        <f aca="false">AB19+AB20+AB16*Inputs!$D$21</f>
        <v>25098.75</v>
      </c>
      <c r="AC26" s="11" t="n">
        <f aca="false">AC19+AC20+AC16*Inputs!$D$21</f>
        <v>28530.625</v>
      </c>
      <c r="AD26" s="11" t="n">
        <f aca="false">AD19+AD20+AD16*Inputs!$D$21</f>
        <v>31286.875</v>
      </c>
      <c r="AE26" s="11" t="n">
        <f aca="false">AE19+AE20+AE16*Inputs!$D$21</f>
        <v>31562.5</v>
      </c>
      <c r="AF26" s="11" t="n">
        <f aca="false">AF19+AF20+AF16*Inputs!$D$21</f>
        <v>31838.125</v>
      </c>
      <c r="AG26" s="11" t="n">
        <f aca="false">AG19+AG20+AG16*Inputs!$D$21</f>
        <v>34994.375</v>
      </c>
      <c r="AH26" s="11" t="n">
        <f aca="false">AH19+AH20+AH16*Inputs!$D$21</f>
        <v>34994.375</v>
      </c>
      <c r="AI26" s="11" t="n">
        <f aca="false">AI19+AI20+AI16*Inputs!$D$21</f>
        <v>35270</v>
      </c>
      <c r="AJ26" s="11" t="n">
        <f aca="false">AJ19+AJ20+AJ16*Inputs!$D$21</f>
        <v>38026.25</v>
      </c>
      <c r="AK26" s="11" t="n">
        <f aca="false">AK19+AK20+AK16*Inputs!$D$21</f>
        <v>38426.25</v>
      </c>
      <c r="AL26" s="11" t="n">
        <f aca="false">AL19+AL20+AL16*Inputs!$D$21</f>
        <v>41458.125</v>
      </c>
    </row>
    <row r="27" customFormat="false" ht="15" hidden="false" customHeight="false" outlineLevel="0" collapsed="false">
      <c r="A27" s="14" t="s">
        <v>209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 customFormat="false" ht="15" hidden="false" customHeight="false" outlineLevel="0" collapsed="false">
      <c r="A28" s="2" t="s">
        <v>210</v>
      </c>
      <c r="B28" s="4"/>
      <c r="C28" s="11" t="n">
        <f aca="false">C21*(1-Inputs!$D$23)+C19*(1-Inputs!$D$24)+C20*(1-Inputs!$D$25)+C22*(1-Inputs!$D$26)+C23*(1-Inputs!$D$27)+C24*(1-Inputs!$D$28)</f>
        <v>4500</v>
      </c>
      <c r="D28" s="11" t="n">
        <f aca="false">D21*(1-Inputs!$D$23)+D19*(1-Inputs!$D$24)+D20*(1-Inputs!$D$25)+D22*(1-Inputs!$D$26)+D23*(1-Inputs!$D$27)+D24*(1-Inputs!$D$28)</f>
        <v>0</v>
      </c>
      <c r="E28" s="11" t="n">
        <f aca="false">E21*(1-Inputs!$D$23)+E19*(1-Inputs!$D$24)+E20*(1-Inputs!$D$25)+E22*(1-Inputs!$D$26)+E23*(1-Inputs!$D$27)+E24*(1-Inputs!$D$28)</f>
        <v>5100</v>
      </c>
      <c r="F28" s="11" t="n">
        <f aca="false">F21*(1-Inputs!$D$23)+F19*(1-Inputs!$D$24)+F20*(1-Inputs!$D$25)+F22*(1-Inputs!$D$26)+F23*(1-Inputs!$D$27)+F24*(1-Inputs!$D$28)</f>
        <v>980</v>
      </c>
      <c r="G28" s="11" t="n">
        <f aca="false">G21*(1-Inputs!$D$23)+G19*(1-Inputs!$D$24)+G20*(1-Inputs!$D$25)+G22*(1-Inputs!$D$26)+G23*(1-Inputs!$D$27)+G24*(1-Inputs!$D$28)</f>
        <v>980</v>
      </c>
      <c r="H28" s="11" t="n">
        <f aca="false">H21*(1-Inputs!$D$23)+H19*(1-Inputs!$D$24)+H20*(1-Inputs!$D$25)+H22*(1-Inputs!$D$26)+H23*(1-Inputs!$D$27)+H24*(1-Inputs!$D$28)</f>
        <v>1617.5</v>
      </c>
      <c r="I28" s="11" t="n">
        <f aca="false">I21*(1-Inputs!$D$23)+I19*(1-Inputs!$D$24)+I20*(1-Inputs!$D$25)+I22*(1-Inputs!$D$26)+I23*(1-Inputs!$D$27)+I24*(1-Inputs!$D$28)</f>
        <v>4472.5</v>
      </c>
      <c r="J28" s="11" t="n">
        <f aca="false">J21*(1-Inputs!$D$23)+J19*(1-Inputs!$D$24)+J20*(1-Inputs!$D$25)+J22*(1-Inputs!$D$26)+J23*(1-Inputs!$D$27)+J24*(1-Inputs!$D$28)</f>
        <v>1097.5</v>
      </c>
      <c r="K28" s="11" t="n">
        <f aca="false">K21*(1-Inputs!$D$23)+K19*(1-Inputs!$D$24)+K20*(1-Inputs!$D$25)+K22*(1-Inputs!$D$26)+K23*(1-Inputs!$D$27)+K24*(1-Inputs!$D$28)</f>
        <v>5072.5</v>
      </c>
      <c r="L28" s="11" t="n">
        <f aca="false">L21*(1-Inputs!$D$23)+L19*(1-Inputs!$D$24)+L20*(1-Inputs!$D$25)+L22*(1-Inputs!$D$26)+L23*(1-Inputs!$D$27)+L24*(1-Inputs!$D$28)</f>
        <v>5302.5</v>
      </c>
      <c r="M28" s="11" t="n">
        <f aca="false">M21*(1-Inputs!$D$23)+M19*(1-Inputs!$D$24)+M20*(1-Inputs!$D$25)+M22*(1-Inputs!$D$26)+M23*(1-Inputs!$D$27)+M24*(1-Inputs!$D$28)</f>
        <v>2527.5</v>
      </c>
      <c r="N28" s="11" t="n">
        <f aca="false">N21*(1-Inputs!$D$23)+N19*(1-Inputs!$D$24)+N20*(1-Inputs!$D$25)+N22*(1-Inputs!$D$26)+N23*(1-Inputs!$D$27)+N24*(1-Inputs!$D$28)</f>
        <v>5420</v>
      </c>
      <c r="O28" s="11" t="n">
        <f aca="false">O21*(1-Inputs!$D$23)+O19*(1-Inputs!$D$24)+O20*(1-Inputs!$D$25)+O22*(1-Inputs!$D$26)+O23*(1-Inputs!$D$27)+O24*(1-Inputs!$D$28)</f>
        <v>6293.75</v>
      </c>
      <c r="P28" s="11" t="n">
        <f aca="false">P21*(1-Inputs!$D$23)+P19*(1-Inputs!$D$24)+P20*(1-Inputs!$D$25)+P22*(1-Inputs!$D$26)+P23*(1-Inputs!$D$27)+P24*(1-Inputs!$D$28)</f>
        <v>3518.75</v>
      </c>
      <c r="Q28" s="11" t="n">
        <f aca="false">Q21*(1-Inputs!$D$23)+Q19*(1-Inputs!$D$24)+Q20*(1-Inputs!$D$25)+Q22*(1-Inputs!$D$26)+Q23*(1-Inputs!$D$27)+Q24*(1-Inputs!$D$28)</f>
        <v>6413.125</v>
      </c>
      <c r="R28" s="11" t="n">
        <f aca="false">R21*(1-Inputs!$D$23)+R19*(1-Inputs!$D$24)+R20*(1-Inputs!$D$25)+R22*(1-Inputs!$D$26)+R23*(1-Inputs!$D$27)+R24*(1-Inputs!$D$28)</f>
        <v>4425.625</v>
      </c>
      <c r="S28" s="11" t="n">
        <f aca="false">S21*(1-Inputs!$D$23)+S19*(1-Inputs!$D$24)+S20*(1-Inputs!$D$25)+S22*(1-Inputs!$D$26)+S23*(1-Inputs!$D$27)+S24*(1-Inputs!$D$28)</f>
        <v>7280.625</v>
      </c>
      <c r="T28" s="11" t="n">
        <f aca="false">T21*(1-Inputs!$D$23)+T19*(1-Inputs!$D$24)+T20*(1-Inputs!$D$25)+T22*(1-Inputs!$D$26)+T23*(1-Inputs!$D$27)+T24*(1-Inputs!$D$28)</f>
        <v>4545</v>
      </c>
      <c r="U28" s="11" t="n">
        <f aca="false">U21*(1-Inputs!$D$23)+U19*(1-Inputs!$D$24)+U20*(1-Inputs!$D$25)+U22*(1-Inputs!$D$26)+U23*(1-Inputs!$D$27)+U24*(1-Inputs!$D$28)</f>
        <v>7400</v>
      </c>
      <c r="V28" s="11" t="n">
        <f aca="false">V21*(1-Inputs!$D$23)+V19*(1-Inputs!$D$24)+V20*(1-Inputs!$D$25)+V22*(1-Inputs!$D$26)+V23*(1-Inputs!$D$27)+V24*(1-Inputs!$D$28)</f>
        <v>14037.5</v>
      </c>
      <c r="W28" s="11" t="n">
        <f aca="false">W21*(1-Inputs!$D$23)+W19*(1-Inputs!$D$24)+W20*(1-Inputs!$D$25)+W22*(1-Inputs!$D$26)+W23*(1-Inputs!$D$27)+W24*(1-Inputs!$D$28)</f>
        <v>4892.5</v>
      </c>
      <c r="X28" s="11" t="n">
        <f aca="false">X21*(1-Inputs!$D$23)+X19*(1-Inputs!$D$24)+X20*(1-Inputs!$D$25)+X22*(1-Inputs!$D$26)+X23*(1-Inputs!$D$27)+X24*(1-Inputs!$D$28)</f>
        <v>12281.875</v>
      </c>
      <c r="Y28" s="11" t="n">
        <f aca="false">Y21*(1-Inputs!$D$23)+Y19*(1-Inputs!$D$24)+Y20*(1-Inputs!$D$25)+Y22*(1-Inputs!$D$26)+Y23*(1-Inputs!$D$27)+Y24*(1-Inputs!$D$28)</f>
        <v>5799.375</v>
      </c>
      <c r="Z28" s="11" t="n">
        <f aca="false">Z21*(1-Inputs!$D$23)+Z19*(1-Inputs!$D$24)+Z20*(1-Inputs!$D$25)+Z22*(1-Inputs!$D$26)+Z23*(1-Inputs!$D$27)+Z24*(1-Inputs!$D$28)</f>
        <v>12549.375</v>
      </c>
      <c r="AA28" s="11" t="n">
        <f aca="false">AA21*(1-Inputs!$D$23)+AA19*(1-Inputs!$D$24)+AA20*(1-Inputs!$D$25)+AA22*(1-Inputs!$D$26)+AA23*(1-Inputs!$D$27)+AA24*(1-Inputs!$D$28)</f>
        <v>10296.5625</v>
      </c>
      <c r="AB28" s="11" t="n">
        <f aca="false">AB21*(1-Inputs!$D$23)+AB19*(1-Inputs!$D$24)+AB20*(1-Inputs!$D$25)+AB22*(1-Inputs!$D$26)+AB23*(1-Inputs!$D$27)+AB24*(1-Inputs!$D$28)</f>
        <v>10896.5625</v>
      </c>
      <c r="AC28" s="11" t="n">
        <f aca="false">AC21*(1-Inputs!$D$23)+AC19*(1-Inputs!$D$24)+AC20*(1-Inputs!$D$25)+AC22*(1-Inputs!$D$26)+AC23*(1-Inputs!$D$27)+AC24*(1-Inputs!$D$28)</f>
        <v>11244.78125</v>
      </c>
      <c r="AD28" s="11" t="n">
        <f aca="false">AD21*(1-Inputs!$D$23)+AD19*(1-Inputs!$D$24)+AD20*(1-Inputs!$D$25)+AD22*(1-Inputs!$D$26)+AD23*(1-Inputs!$D$27)+AD24*(1-Inputs!$D$28)</f>
        <v>12071.65625</v>
      </c>
      <c r="AE28" s="11" t="n">
        <f aca="false">AE21*(1-Inputs!$D$23)+AE19*(1-Inputs!$D$24)+AE20*(1-Inputs!$D$25)+AE22*(1-Inputs!$D$26)+AE23*(1-Inputs!$D$27)+AE24*(1-Inputs!$D$28)</f>
        <v>8738</v>
      </c>
      <c r="AF28" s="11" t="n">
        <f aca="false">AF21*(1-Inputs!$D$23)+AF19*(1-Inputs!$D$24)+AF20*(1-Inputs!$D$25)+AF22*(1-Inputs!$D$26)+AF23*(1-Inputs!$D$27)+AF24*(1-Inputs!$D$28)</f>
        <v>19754.34375</v>
      </c>
      <c r="AG28" s="11" t="n">
        <f aca="false">AG21*(1-Inputs!$D$23)+AG19*(1-Inputs!$D$24)+AG20*(1-Inputs!$D$25)+AG22*(1-Inputs!$D$26)+AG23*(1-Inputs!$D$27)+AG24*(1-Inputs!$D$28)</f>
        <v>13061.21875</v>
      </c>
      <c r="AH28" s="11" t="n">
        <f aca="false">AH21*(1-Inputs!$D$23)+AH19*(1-Inputs!$D$24)+AH20*(1-Inputs!$D$25)+AH22*(1-Inputs!$D$26)+AH23*(1-Inputs!$D$27)+AH24*(1-Inputs!$D$28)</f>
        <v>9686.21875</v>
      </c>
      <c r="AI28" s="11" t="n">
        <f aca="false">AI21*(1-Inputs!$D$23)+AI19*(1-Inputs!$D$24)+AI20*(1-Inputs!$D$25)+AI22*(1-Inputs!$D$26)+AI23*(1-Inputs!$D$27)+AI24*(1-Inputs!$D$28)</f>
        <v>16477.5625</v>
      </c>
      <c r="AJ28" s="11" t="n">
        <f aca="false">AJ21*(1-Inputs!$D$23)+AJ19*(1-Inputs!$D$24)+AJ20*(1-Inputs!$D$25)+AJ22*(1-Inputs!$D$26)+AJ23*(1-Inputs!$D$27)+AJ24*(1-Inputs!$D$28)</f>
        <v>14529.4375</v>
      </c>
      <c r="AK28" s="11" t="n">
        <f aca="false">AK21*(1-Inputs!$D$23)+AK19*(1-Inputs!$D$24)+AK20*(1-Inputs!$D$25)+AK22*(1-Inputs!$D$26)+AK23*(1-Inputs!$D$27)+AK24*(1-Inputs!$D$28)</f>
        <v>14009.4375</v>
      </c>
      <c r="AL28" s="11" t="n">
        <f aca="false">AL21*(1-Inputs!$D$23)+AL19*(1-Inputs!$D$24)+AL20*(1-Inputs!$D$25)+AL22*(1-Inputs!$D$26)+AL23*(1-Inputs!$D$27)+AL24*(1-Inputs!$D$28)</f>
        <v>18252.65625</v>
      </c>
    </row>
    <row r="29" customFormat="false" ht="15" hidden="false" customHeight="false" outlineLevel="0" collapsed="false">
      <c r="A29" s="3" t="s">
        <v>211</v>
      </c>
      <c r="B29" s="4"/>
      <c r="C29" s="11" t="n">
        <f aca="false">C25-C28</f>
        <v>5500</v>
      </c>
      <c r="D29" s="11" t="n">
        <f aca="false">D25-D28</f>
        <v>0</v>
      </c>
      <c r="E29" s="11" t="n">
        <f aca="false">E25-E28</f>
        <v>10140</v>
      </c>
      <c r="F29" s="11" t="n">
        <f aca="false">F25-F28</f>
        <v>2420</v>
      </c>
      <c r="G29" s="11" t="n">
        <f aca="false">G25-G28</f>
        <v>2420</v>
      </c>
      <c r="H29" s="11" t="n">
        <f aca="false">H25-H28</f>
        <v>5032.5</v>
      </c>
      <c r="I29" s="11" t="n">
        <f aca="false">I25-I28</f>
        <v>7077.5</v>
      </c>
      <c r="J29" s="11" t="n">
        <f aca="false">J25-J28</f>
        <v>2952.5</v>
      </c>
      <c r="K29" s="11" t="n">
        <f aca="false">K25-K28</f>
        <v>11717.5</v>
      </c>
      <c r="L29" s="11" t="n">
        <f aca="false">L25-L28</f>
        <v>9147.5</v>
      </c>
      <c r="M29" s="11" t="n">
        <f aca="false">M25-M28</f>
        <v>7422.5</v>
      </c>
      <c r="N29" s="11" t="n">
        <f aca="false">N25-N28</f>
        <v>11920</v>
      </c>
      <c r="O29" s="11" t="n">
        <f aca="false">O25-O28</f>
        <v>11731.25</v>
      </c>
      <c r="P29" s="11" t="n">
        <f aca="false">P25-P28</f>
        <v>10006.25</v>
      </c>
      <c r="Q29" s="11" t="n">
        <f aca="false">Q25-Q28</f>
        <v>14514.375</v>
      </c>
      <c r="R29" s="11" t="n">
        <f aca="false">R25-R28</f>
        <v>12386.875</v>
      </c>
      <c r="S29" s="11" t="n">
        <f aca="false">S25-S28</f>
        <v>14431.875</v>
      </c>
      <c r="T29" s="11" t="n">
        <f aca="false">T25-T28</f>
        <v>12930</v>
      </c>
      <c r="U29" s="11" t="n">
        <f aca="false">U25-U28</f>
        <v>17215</v>
      </c>
      <c r="V29" s="11" t="n">
        <f aca="false">V25-V28</f>
        <v>28962.5</v>
      </c>
      <c r="W29" s="11" t="n">
        <f aca="false">W25-W28</f>
        <v>13007.5</v>
      </c>
      <c r="X29" s="11" t="n">
        <f aca="false">X25-X28</f>
        <v>26120.625</v>
      </c>
      <c r="Y29" s="11" t="n">
        <f aca="false">Y25-Y28</f>
        <v>15388.125</v>
      </c>
      <c r="Z29" s="11" t="n">
        <f aca="false">Z25-Z28</f>
        <v>25878.125</v>
      </c>
      <c r="AA29" s="11" t="n">
        <f aca="false">AA25-AA28</f>
        <v>22302.1875</v>
      </c>
      <c r="AB29" s="11" t="n">
        <f aca="false">AB25-AB28</f>
        <v>26942.1875</v>
      </c>
      <c r="AC29" s="11" t="n">
        <f aca="false">AC25-AC28</f>
        <v>27025.84375</v>
      </c>
      <c r="AD29" s="11" t="n">
        <f aca="false">AD25-AD28</f>
        <v>26715.21875</v>
      </c>
      <c r="AE29" s="11" t="n">
        <f aca="false">AE25-AE28</f>
        <v>22824.5</v>
      </c>
      <c r="AF29" s="11" t="n">
        <f aca="false">AF25-AF28</f>
        <v>44823.78125</v>
      </c>
      <c r="AG29" s="11" t="n">
        <f aca="false">AG25-AG28</f>
        <v>29433.15625</v>
      </c>
      <c r="AH29" s="11" t="n">
        <f aca="false">AH25-AH28</f>
        <v>25308.15625</v>
      </c>
      <c r="AI29" s="11" t="n">
        <f aca="false">AI25-AI28</f>
        <v>36032.4375</v>
      </c>
      <c r="AJ29" s="11" t="n">
        <f aca="false">AJ25-AJ28</f>
        <v>33996.8125</v>
      </c>
      <c r="AK29" s="11" t="n">
        <f aca="false">AK25-AK28</f>
        <v>34156.8125</v>
      </c>
      <c r="AL29" s="11" t="n">
        <f aca="false">AL25-AL28</f>
        <v>40445.46875</v>
      </c>
    </row>
    <row r="30" customFormat="false" ht="15" hidden="false" customHeight="false" outlineLevel="0" collapsed="false">
      <c r="A30" s="14" t="s">
        <v>212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 customFormat="false" ht="15" hidden="false" customHeight="false" outlineLevel="0" collapsed="false">
      <c r="A31" s="2" t="s">
        <v>213</v>
      </c>
      <c r="B31" s="4"/>
      <c r="C31" s="11" t="n">
        <f aca="false">CHOOSE(C$3,Inputs!$D$30,Inputs!$D$31,Inputs!$D$32)/12</f>
        <v>5833.33333333333</v>
      </c>
      <c r="D31" s="11" t="n">
        <f aca="false">CHOOSE(D$3,Inputs!$D$30,Inputs!$D$31,Inputs!$D$32)/12</f>
        <v>5833.33333333333</v>
      </c>
      <c r="E31" s="11" t="n">
        <f aca="false">CHOOSE(E$3,Inputs!$D$30,Inputs!$D$31,Inputs!$D$32)/12</f>
        <v>5833.33333333333</v>
      </c>
      <c r="F31" s="11" t="n">
        <f aca="false">CHOOSE(F$3,Inputs!$D$30,Inputs!$D$31,Inputs!$D$32)/12</f>
        <v>5833.33333333333</v>
      </c>
      <c r="G31" s="11" t="n">
        <f aca="false">CHOOSE(G$3,Inputs!$D$30,Inputs!$D$31,Inputs!$D$32)/12</f>
        <v>5833.33333333333</v>
      </c>
      <c r="H31" s="11" t="n">
        <f aca="false">CHOOSE(H$3,Inputs!$D$30,Inputs!$D$31,Inputs!$D$32)/12</f>
        <v>5833.33333333333</v>
      </c>
      <c r="I31" s="11" t="n">
        <f aca="false">CHOOSE(I$3,Inputs!$D$30,Inputs!$D$31,Inputs!$D$32)/12</f>
        <v>5833.33333333333</v>
      </c>
      <c r="J31" s="11" t="n">
        <f aca="false">CHOOSE(J$3,Inputs!$D$30,Inputs!$D$31,Inputs!$D$32)/12</f>
        <v>5833.33333333333</v>
      </c>
      <c r="K31" s="11" t="n">
        <f aca="false">CHOOSE(K$3,Inputs!$D$30,Inputs!$D$31,Inputs!$D$32)/12</f>
        <v>5833.33333333333</v>
      </c>
      <c r="L31" s="11" t="n">
        <f aca="false">CHOOSE(L$3,Inputs!$D$30,Inputs!$D$31,Inputs!$D$32)/12</f>
        <v>5833.33333333333</v>
      </c>
      <c r="M31" s="11" t="n">
        <f aca="false">CHOOSE(M$3,Inputs!$D$30,Inputs!$D$31,Inputs!$D$32)/12</f>
        <v>5833.33333333333</v>
      </c>
      <c r="N31" s="11" t="n">
        <f aca="false">CHOOSE(N$3,Inputs!$D$30,Inputs!$D$31,Inputs!$D$32)/12</f>
        <v>5833.33333333333</v>
      </c>
      <c r="O31" s="11" t="n">
        <f aca="false">CHOOSE(O$3,Inputs!$D$30,Inputs!$D$31,Inputs!$D$32)/12</f>
        <v>8333.33333333333</v>
      </c>
      <c r="P31" s="11" t="n">
        <f aca="false">CHOOSE(P$3,Inputs!$D$30,Inputs!$D$31,Inputs!$D$32)/12</f>
        <v>8333.33333333333</v>
      </c>
      <c r="Q31" s="11" t="n">
        <f aca="false">CHOOSE(Q$3,Inputs!$D$30,Inputs!$D$31,Inputs!$D$32)/12</f>
        <v>8333.33333333333</v>
      </c>
      <c r="R31" s="11" t="n">
        <f aca="false">CHOOSE(R$3,Inputs!$D$30,Inputs!$D$31,Inputs!$D$32)/12</f>
        <v>8333.33333333333</v>
      </c>
      <c r="S31" s="11" t="n">
        <f aca="false">CHOOSE(S$3,Inputs!$D$30,Inputs!$D$31,Inputs!$D$32)/12</f>
        <v>8333.33333333333</v>
      </c>
      <c r="T31" s="11" t="n">
        <f aca="false">CHOOSE(T$3,Inputs!$D$30,Inputs!$D$31,Inputs!$D$32)/12</f>
        <v>8333.33333333333</v>
      </c>
      <c r="U31" s="11" t="n">
        <f aca="false">CHOOSE(U$3,Inputs!$D$30,Inputs!$D$31,Inputs!$D$32)/12</f>
        <v>8333.33333333333</v>
      </c>
      <c r="V31" s="11" t="n">
        <f aca="false">CHOOSE(V$3,Inputs!$D$30,Inputs!$D$31,Inputs!$D$32)/12</f>
        <v>8333.33333333333</v>
      </c>
      <c r="W31" s="11" t="n">
        <f aca="false">CHOOSE(W$3,Inputs!$D$30,Inputs!$D$31,Inputs!$D$32)/12</f>
        <v>8333.33333333333</v>
      </c>
      <c r="X31" s="11" t="n">
        <f aca="false">CHOOSE(X$3,Inputs!$D$30,Inputs!$D$31,Inputs!$D$32)/12</f>
        <v>8333.33333333333</v>
      </c>
      <c r="Y31" s="11" t="n">
        <f aca="false">CHOOSE(Y$3,Inputs!$D$30,Inputs!$D$31,Inputs!$D$32)/12</f>
        <v>8333.33333333333</v>
      </c>
      <c r="Z31" s="11" t="n">
        <f aca="false">CHOOSE(Z$3,Inputs!$D$30,Inputs!$D$31,Inputs!$D$32)/12</f>
        <v>8333.33333333333</v>
      </c>
      <c r="AA31" s="11" t="n">
        <f aca="false">CHOOSE(AA$3,Inputs!$D$30,Inputs!$D$31,Inputs!$D$32)/12</f>
        <v>10833.3333333333</v>
      </c>
      <c r="AB31" s="11" t="n">
        <f aca="false">CHOOSE(AB$3,Inputs!$D$30,Inputs!$D$31,Inputs!$D$32)/12</f>
        <v>10833.3333333333</v>
      </c>
      <c r="AC31" s="11" t="n">
        <f aca="false">CHOOSE(AC$3,Inputs!$D$30,Inputs!$D$31,Inputs!$D$32)/12</f>
        <v>10833.3333333333</v>
      </c>
      <c r="AD31" s="11" t="n">
        <f aca="false">CHOOSE(AD$3,Inputs!$D$30,Inputs!$D$31,Inputs!$D$32)/12</f>
        <v>10833.3333333333</v>
      </c>
      <c r="AE31" s="11" t="n">
        <f aca="false">CHOOSE(AE$3,Inputs!$D$30,Inputs!$D$31,Inputs!$D$32)/12</f>
        <v>10833.3333333333</v>
      </c>
      <c r="AF31" s="11" t="n">
        <f aca="false">CHOOSE(AF$3,Inputs!$D$30,Inputs!$D$31,Inputs!$D$32)/12</f>
        <v>10833.3333333333</v>
      </c>
      <c r="AG31" s="11" t="n">
        <f aca="false">CHOOSE(AG$3,Inputs!$D$30,Inputs!$D$31,Inputs!$D$32)/12</f>
        <v>10833.3333333333</v>
      </c>
      <c r="AH31" s="11" t="n">
        <f aca="false">CHOOSE(AH$3,Inputs!$D$30,Inputs!$D$31,Inputs!$D$32)/12</f>
        <v>10833.3333333333</v>
      </c>
      <c r="AI31" s="11" t="n">
        <f aca="false">CHOOSE(AI$3,Inputs!$D$30,Inputs!$D$31,Inputs!$D$32)/12</f>
        <v>10833.3333333333</v>
      </c>
      <c r="AJ31" s="11" t="n">
        <f aca="false">CHOOSE(AJ$3,Inputs!$D$30,Inputs!$D$31,Inputs!$D$32)/12</f>
        <v>10833.3333333333</v>
      </c>
      <c r="AK31" s="11" t="n">
        <f aca="false">CHOOSE(AK$3,Inputs!$D$30,Inputs!$D$31,Inputs!$D$32)/12</f>
        <v>10833.3333333333</v>
      </c>
      <c r="AL31" s="11" t="n">
        <f aca="false">CHOOSE(AL$3,Inputs!$D$30,Inputs!$D$31,Inputs!$D$32)/12</f>
        <v>10833.3333333333</v>
      </c>
    </row>
    <row r="32" customFormat="false" ht="15" hidden="false" customHeight="false" outlineLevel="0" collapsed="false">
      <c r="A32" s="2" t="s">
        <v>214</v>
      </c>
      <c r="B32" s="4"/>
      <c r="C32" s="11" t="n">
        <f aca="false">C31*Inputs!$D$33</f>
        <v>446.25</v>
      </c>
      <c r="D32" s="11" t="n">
        <f aca="false">D31*Inputs!$D$33</f>
        <v>446.25</v>
      </c>
      <c r="E32" s="11" t="n">
        <f aca="false">E31*Inputs!$D$33</f>
        <v>446.25</v>
      </c>
      <c r="F32" s="11" t="n">
        <f aca="false">F31*Inputs!$D$33</f>
        <v>446.25</v>
      </c>
      <c r="G32" s="11" t="n">
        <f aca="false">G31*Inputs!$D$33</f>
        <v>446.25</v>
      </c>
      <c r="H32" s="11" t="n">
        <f aca="false">H31*Inputs!$D$33</f>
        <v>446.25</v>
      </c>
      <c r="I32" s="11" t="n">
        <f aca="false">I31*Inputs!$D$33</f>
        <v>446.25</v>
      </c>
      <c r="J32" s="11" t="n">
        <f aca="false">J31*Inputs!$D$33</f>
        <v>446.25</v>
      </c>
      <c r="K32" s="11" t="n">
        <f aca="false">K31*Inputs!$D$33</f>
        <v>446.25</v>
      </c>
      <c r="L32" s="11" t="n">
        <f aca="false">L31*Inputs!$D$33</f>
        <v>446.25</v>
      </c>
      <c r="M32" s="11" t="n">
        <f aca="false">M31*Inputs!$D$33</f>
        <v>446.25</v>
      </c>
      <c r="N32" s="11" t="n">
        <f aca="false">N31*Inputs!$D$33</f>
        <v>446.25</v>
      </c>
      <c r="O32" s="11" t="n">
        <f aca="false">O31*Inputs!$D$33</f>
        <v>637.5</v>
      </c>
      <c r="P32" s="11" t="n">
        <f aca="false">P31*Inputs!$D$33</f>
        <v>637.5</v>
      </c>
      <c r="Q32" s="11" t="n">
        <f aca="false">Q31*Inputs!$D$33</f>
        <v>637.5</v>
      </c>
      <c r="R32" s="11" t="n">
        <f aca="false">R31*Inputs!$D$33</f>
        <v>637.5</v>
      </c>
      <c r="S32" s="11" t="n">
        <f aca="false">S31*Inputs!$D$33</f>
        <v>637.5</v>
      </c>
      <c r="T32" s="11" t="n">
        <f aca="false">T31*Inputs!$D$33</f>
        <v>637.5</v>
      </c>
      <c r="U32" s="11" t="n">
        <f aca="false">U31*Inputs!$D$33</f>
        <v>637.5</v>
      </c>
      <c r="V32" s="11" t="n">
        <f aca="false">V31*Inputs!$D$33</f>
        <v>637.5</v>
      </c>
      <c r="W32" s="11" t="n">
        <f aca="false">W31*Inputs!$D$33</f>
        <v>637.5</v>
      </c>
      <c r="X32" s="11" t="n">
        <f aca="false">X31*Inputs!$D$33</f>
        <v>637.5</v>
      </c>
      <c r="Y32" s="11" t="n">
        <f aca="false">Y31*Inputs!$D$33</f>
        <v>637.5</v>
      </c>
      <c r="Z32" s="11" t="n">
        <f aca="false">Z31*Inputs!$D$33</f>
        <v>637.5</v>
      </c>
      <c r="AA32" s="11" t="n">
        <f aca="false">AA31*Inputs!$D$33</f>
        <v>828.75</v>
      </c>
      <c r="AB32" s="11" t="n">
        <f aca="false">AB31*Inputs!$D$33</f>
        <v>828.75</v>
      </c>
      <c r="AC32" s="11" t="n">
        <f aca="false">AC31*Inputs!$D$33</f>
        <v>828.75</v>
      </c>
      <c r="AD32" s="11" t="n">
        <f aca="false">AD31*Inputs!$D$33</f>
        <v>828.75</v>
      </c>
      <c r="AE32" s="11" t="n">
        <f aca="false">AE31*Inputs!$D$33</f>
        <v>828.75</v>
      </c>
      <c r="AF32" s="11" t="n">
        <f aca="false">AF31*Inputs!$D$33</f>
        <v>828.75</v>
      </c>
      <c r="AG32" s="11" t="n">
        <f aca="false">AG31*Inputs!$D$33</f>
        <v>828.75</v>
      </c>
      <c r="AH32" s="11" t="n">
        <f aca="false">AH31*Inputs!$D$33</f>
        <v>828.75</v>
      </c>
      <c r="AI32" s="11" t="n">
        <f aca="false">AI31*Inputs!$D$33</f>
        <v>828.75</v>
      </c>
      <c r="AJ32" s="11" t="n">
        <f aca="false">AJ31*Inputs!$D$33</f>
        <v>828.75</v>
      </c>
      <c r="AK32" s="11" t="n">
        <f aca="false">AK31*Inputs!$D$33</f>
        <v>828.75</v>
      </c>
      <c r="AL32" s="11" t="n">
        <f aca="false">AL31*Inputs!$D$33</f>
        <v>828.75</v>
      </c>
    </row>
    <row r="33" customFormat="false" ht="15" hidden="false" customHeight="false" outlineLevel="0" collapsed="false">
      <c r="A33" s="2" t="s">
        <v>215</v>
      </c>
      <c r="B33" s="4"/>
      <c r="C33" s="11" t="n">
        <f aca="false">IF(C$2&gt;=Inputs!$D$34,Inputs!$D$35/12,0)+IF(C$2&gt;=Inputs!$D$36,Inputs!$D$37/12,0)</f>
        <v>0</v>
      </c>
      <c r="D33" s="11" t="n">
        <f aca="false">IF(D$2&gt;=Inputs!$D$34,Inputs!$D$35/12,0)+IF(D$2&gt;=Inputs!$D$36,Inputs!$D$37/12,0)</f>
        <v>0</v>
      </c>
      <c r="E33" s="11" t="n">
        <f aca="false">IF(E$2&gt;=Inputs!$D$34,Inputs!$D$35/12,0)+IF(E$2&gt;=Inputs!$D$36,Inputs!$D$37/12,0)</f>
        <v>0</v>
      </c>
      <c r="F33" s="11" t="n">
        <f aca="false">IF(F$2&gt;=Inputs!$D$34,Inputs!$D$35/12,0)+IF(F$2&gt;=Inputs!$D$36,Inputs!$D$37/12,0)</f>
        <v>0</v>
      </c>
      <c r="G33" s="11" t="n">
        <f aca="false">IF(G$2&gt;=Inputs!$D$34,Inputs!$D$35/12,0)+IF(G$2&gt;=Inputs!$D$36,Inputs!$D$37/12,0)</f>
        <v>0</v>
      </c>
      <c r="H33" s="11" t="n">
        <f aca="false">IF(H$2&gt;=Inputs!$D$34,Inputs!$D$35/12,0)+IF(H$2&gt;=Inputs!$D$36,Inputs!$D$37/12,0)</f>
        <v>0</v>
      </c>
      <c r="I33" s="11" t="n">
        <f aca="false">IF(I$2&gt;=Inputs!$D$34,Inputs!$D$35/12,0)+IF(I$2&gt;=Inputs!$D$36,Inputs!$D$37/12,0)</f>
        <v>0</v>
      </c>
      <c r="J33" s="11" t="n">
        <f aca="false">IF(J$2&gt;=Inputs!$D$34,Inputs!$D$35/12,0)+IF(J$2&gt;=Inputs!$D$36,Inputs!$D$37/12,0)</f>
        <v>0</v>
      </c>
      <c r="K33" s="11" t="n">
        <f aca="false">IF(K$2&gt;=Inputs!$D$34,Inputs!$D$35/12,0)+IF(K$2&gt;=Inputs!$D$36,Inputs!$D$37/12,0)</f>
        <v>0</v>
      </c>
      <c r="L33" s="11" t="n">
        <f aca="false">IF(L$2&gt;=Inputs!$D$34,Inputs!$D$35/12,0)+IF(L$2&gt;=Inputs!$D$36,Inputs!$D$37/12,0)</f>
        <v>0</v>
      </c>
      <c r="M33" s="11" t="n">
        <f aca="false">IF(M$2&gt;=Inputs!$D$34,Inputs!$D$35/12,0)+IF(M$2&gt;=Inputs!$D$36,Inputs!$D$37/12,0)</f>
        <v>0</v>
      </c>
      <c r="N33" s="11" t="n">
        <f aca="false">IF(N$2&gt;=Inputs!$D$34,Inputs!$D$35/12,0)+IF(N$2&gt;=Inputs!$D$36,Inputs!$D$37/12,0)</f>
        <v>0</v>
      </c>
      <c r="O33" s="11" t="n">
        <f aca="false">IF(O$2&gt;=Inputs!$D$34,Inputs!$D$35/12,0)+IF(O$2&gt;=Inputs!$D$36,Inputs!$D$37/12,0)</f>
        <v>0</v>
      </c>
      <c r="P33" s="11" t="n">
        <f aca="false">IF(P$2&gt;=Inputs!$D$34,Inputs!$D$35/12,0)+IF(P$2&gt;=Inputs!$D$36,Inputs!$D$37/12,0)</f>
        <v>0</v>
      </c>
      <c r="Q33" s="11" t="n">
        <f aca="false">IF(Q$2&gt;=Inputs!$D$34,Inputs!$D$35/12,0)+IF(Q$2&gt;=Inputs!$D$36,Inputs!$D$37/12,0)</f>
        <v>0</v>
      </c>
      <c r="R33" s="11" t="n">
        <f aca="false">IF(R$2&gt;=Inputs!$D$34,Inputs!$D$35/12,0)+IF(R$2&gt;=Inputs!$D$36,Inputs!$D$37/12,0)</f>
        <v>0</v>
      </c>
      <c r="S33" s="11" t="n">
        <f aca="false">IF(S$2&gt;=Inputs!$D$34,Inputs!$D$35/12,0)+IF(S$2&gt;=Inputs!$D$36,Inputs!$D$37/12,0)</f>
        <v>0</v>
      </c>
      <c r="T33" s="11" t="n">
        <f aca="false">IF(T$2&gt;=Inputs!$D$34,Inputs!$D$35/12,0)+IF(T$2&gt;=Inputs!$D$36,Inputs!$D$37/12,0)</f>
        <v>0</v>
      </c>
      <c r="U33" s="11" t="n">
        <f aca="false">IF(U$2&gt;=Inputs!$D$34,Inputs!$D$35/12,0)+IF(U$2&gt;=Inputs!$D$36,Inputs!$D$37/12,0)</f>
        <v>0</v>
      </c>
      <c r="V33" s="11" t="n">
        <f aca="false">IF(V$2&gt;=Inputs!$D$34,Inputs!$D$35/12,0)+IF(V$2&gt;=Inputs!$D$36,Inputs!$D$37/12,0)</f>
        <v>0</v>
      </c>
      <c r="W33" s="11" t="n">
        <f aca="false">IF(W$2&gt;=Inputs!$D$34,Inputs!$D$35/12,0)+IF(W$2&gt;=Inputs!$D$36,Inputs!$D$37/12,0)</f>
        <v>0</v>
      </c>
      <c r="X33" s="11" t="n">
        <f aca="false">IF(X$2&gt;=Inputs!$D$34,Inputs!$D$35/12,0)+IF(X$2&gt;=Inputs!$D$36,Inputs!$D$37/12,0)</f>
        <v>0</v>
      </c>
      <c r="Y33" s="11" t="n">
        <f aca="false">IF(Y$2&gt;=Inputs!$D$34,Inputs!$D$35/12,0)+IF(Y$2&gt;=Inputs!$D$36,Inputs!$D$37/12,0)</f>
        <v>0</v>
      </c>
      <c r="Z33" s="11" t="n">
        <f aca="false">IF(Z$2&gt;=Inputs!$D$34,Inputs!$D$35/12,0)+IF(Z$2&gt;=Inputs!$D$36,Inputs!$D$37/12,0)</f>
        <v>0</v>
      </c>
      <c r="AA33" s="11" t="n">
        <f aca="false">IF(AA$2&gt;=Inputs!$D$34,Inputs!$D$35/12,0)+IF(AA$2&gt;=Inputs!$D$36,Inputs!$D$37/12,0)</f>
        <v>0</v>
      </c>
      <c r="AB33" s="11" t="n">
        <f aca="false">IF(AB$2&gt;=Inputs!$D$34,Inputs!$D$35/12,0)+IF(AB$2&gt;=Inputs!$D$36,Inputs!$D$37/12,0)</f>
        <v>7291.66666666667</v>
      </c>
      <c r="AC33" s="11" t="n">
        <f aca="false">IF(AC$2&gt;=Inputs!$D$34,Inputs!$D$35/12,0)+IF(AC$2&gt;=Inputs!$D$36,Inputs!$D$37/12,0)</f>
        <v>7291.66666666667</v>
      </c>
      <c r="AD33" s="11" t="n">
        <f aca="false">IF(AD$2&gt;=Inputs!$D$34,Inputs!$D$35/12,0)+IF(AD$2&gt;=Inputs!$D$36,Inputs!$D$37/12,0)</f>
        <v>7291.66666666667</v>
      </c>
      <c r="AE33" s="11" t="n">
        <f aca="false">IF(AE$2&gt;=Inputs!$D$34,Inputs!$D$35/12,0)+IF(AE$2&gt;=Inputs!$D$36,Inputs!$D$37/12,0)</f>
        <v>7291.66666666667</v>
      </c>
      <c r="AF33" s="11" t="n">
        <f aca="false">IF(AF$2&gt;=Inputs!$D$34,Inputs!$D$35/12,0)+IF(AF$2&gt;=Inputs!$D$36,Inputs!$D$37/12,0)</f>
        <v>7291.66666666667</v>
      </c>
      <c r="AG33" s="11" t="n">
        <f aca="false">IF(AG$2&gt;=Inputs!$D$34,Inputs!$D$35/12,0)+IF(AG$2&gt;=Inputs!$D$36,Inputs!$D$37/12,0)</f>
        <v>7291.66666666667</v>
      </c>
      <c r="AH33" s="11" t="n">
        <f aca="false">IF(AH$2&gt;=Inputs!$D$34,Inputs!$D$35/12,0)+IF(AH$2&gt;=Inputs!$D$36,Inputs!$D$37/12,0)</f>
        <v>7291.66666666667</v>
      </c>
      <c r="AI33" s="11" t="n">
        <f aca="false">IF(AI$2&gt;=Inputs!$D$34,Inputs!$D$35/12,0)+IF(AI$2&gt;=Inputs!$D$36,Inputs!$D$37/12,0)</f>
        <v>7291.66666666667</v>
      </c>
      <c r="AJ33" s="11" t="n">
        <f aca="false">IF(AJ$2&gt;=Inputs!$D$34,Inputs!$D$35/12,0)+IF(AJ$2&gt;=Inputs!$D$36,Inputs!$D$37/12,0)</f>
        <v>7291.66666666667</v>
      </c>
      <c r="AK33" s="11" t="n">
        <f aca="false">IF(AK$2&gt;=Inputs!$D$34,Inputs!$D$35/12,0)+IF(AK$2&gt;=Inputs!$D$36,Inputs!$D$37/12,0)</f>
        <v>7291.66666666667</v>
      </c>
      <c r="AL33" s="11" t="n">
        <f aca="false">IF(AL$2&gt;=Inputs!$D$34,Inputs!$D$35/12,0)+IF(AL$2&gt;=Inputs!$D$36,Inputs!$D$37/12,0)</f>
        <v>7291.66666666667</v>
      </c>
    </row>
    <row r="34" customFormat="false" ht="15" hidden="false" customHeight="false" outlineLevel="0" collapsed="false">
      <c r="A34" s="2" t="s">
        <v>216</v>
      </c>
      <c r="B34" s="4"/>
      <c r="C34" s="11" t="n">
        <f aca="false">IF(AND(C$2&gt;=Inputs!$D$38,C$2&lt;Inputs!$D$34),Inputs!$D$39+Inputs!$D$40,0)</f>
        <v>0</v>
      </c>
      <c r="D34" s="11" t="n">
        <f aca="false">IF(AND(D$2&gt;=Inputs!$D$38,D$2&lt;Inputs!$D$34),Inputs!$D$39+Inputs!$D$40,0)</f>
        <v>0</v>
      </c>
      <c r="E34" s="11" t="n">
        <f aca="false">IF(AND(E$2&gt;=Inputs!$D$38,E$2&lt;Inputs!$D$34),Inputs!$D$39+Inputs!$D$40,0)</f>
        <v>0</v>
      </c>
      <c r="F34" s="11" t="n">
        <f aca="false">IF(AND(F$2&gt;=Inputs!$D$38,F$2&lt;Inputs!$D$34),Inputs!$D$39+Inputs!$D$40,0)</f>
        <v>0</v>
      </c>
      <c r="G34" s="11" t="n">
        <f aca="false">IF(AND(G$2&gt;=Inputs!$D$38,G$2&lt;Inputs!$D$34),Inputs!$D$39+Inputs!$D$40,0)</f>
        <v>0</v>
      </c>
      <c r="H34" s="11" t="n">
        <f aca="false">IF(AND(H$2&gt;=Inputs!$D$38,H$2&lt;Inputs!$D$34),Inputs!$D$39+Inputs!$D$40,0)</f>
        <v>2300</v>
      </c>
      <c r="I34" s="11" t="n">
        <f aca="false">IF(AND(I$2&gt;=Inputs!$D$38,I$2&lt;Inputs!$D$34),Inputs!$D$39+Inputs!$D$40,0)</f>
        <v>2300</v>
      </c>
      <c r="J34" s="11" t="n">
        <f aca="false">IF(AND(J$2&gt;=Inputs!$D$38,J$2&lt;Inputs!$D$34),Inputs!$D$39+Inputs!$D$40,0)</f>
        <v>2300</v>
      </c>
      <c r="K34" s="11" t="n">
        <f aca="false">IF(AND(K$2&gt;=Inputs!$D$38,K$2&lt;Inputs!$D$34),Inputs!$D$39+Inputs!$D$40,0)</f>
        <v>2300</v>
      </c>
      <c r="L34" s="11" t="n">
        <f aca="false">IF(AND(L$2&gt;=Inputs!$D$38,L$2&lt;Inputs!$D$34),Inputs!$D$39+Inputs!$D$40,0)</f>
        <v>2300</v>
      </c>
      <c r="M34" s="11" t="n">
        <f aca="false">IF(AND(M$2&gt;=Inputs!$D$38,M$2&lt;Inputs!$D$34),Inputs!$D$39+Inputs!$D$40,0)</f>
        <v>2300</v>
      </c>
      <c r="N34" s="11" t="n">
        <f aca="false">IF(AND(N$2&gt;=Inputs!$D$38,N$2&lt;Inputs!$D$34),Inputs!$D$39+Inputs!$D$40,0)</f>
        <v>2300</v>
      </c>
      <c r="O34" s="11" t="n">
        <f aca="false">IF(AND(O$2&gt;=Inputs!$D$38,O$2&lt;Inputs!$D$34),Inputs!$D$39+Inputs!$D$40,0)</f>
        <v>2300</v>
      </c>
      <c r="P34" s="11" t="n">
        <f aca="false">IF(AND(P$2&gt;=Inputs!$D$38,P$2&lt;Inputs!$D$34),Inputs!$D$39+Inputs!$D$40,0)</f>
        <v>2300</v>
      </c>
      <c r="Q34" s="11" t="n">
        <f aca="false">IF(AND(Q$2&gt;=Inputs!$D$38,Q$2&lt;Inputs!$D$34),Inputs!$D$39+Inputs!$D$40,0)</f>
        <v>2300</v>
      </c>
      <c r="R34" s="11" t="n">
        <f aca="false">IF(AND(R$2&gt;=Inputs!$D$38,R$2&lt;Inputs!$D$34),Inputs!$D$39+Inputs!$D$40,0)</f>
        <v>2300</v>
      </c>
      <c r="S34" s="11" t="n">
        <f aca="false">IF(AND(S$2&gt;=Inputs!$D$38,S$2&lt;Inputs!$D$34),Inputs!$D$39+Inputs!$D$40,0)</f>
        <v>2300</v>
      </c>
      <c r="T34" s="11" t="n">
        <f aca="false">IF(AND(T$2&gt;=Inputs!$D$38,T$2&lt;Inputs!$D$34),Inputs!$D$39+Inputs!$D$40,0)</f>
        <v>2300</v>
      </c>
      <c r="U34" s="11" t="n">
        <f aca="false">IF(AND(U$2&gt;=Inputs!$D$38,U$2&lt;Inputs!$D$34),Inputs!$D$39+Inputs!$D$40,0)</f>
        <v>2300</v>
      </c>
      <c r="V34" s="11" t="n">
        <f aca="false">IF(AND(V$2&gt;=Inputs!$D$38,V$2&lt;Inputs!$D$34),Inputs!$D$39+Inputs!$D$40,0)</f>
        <v>2300</v>
      </c>
      <c r="W34" s="11" t="n">
        <f aca="false">IF(AND(W$2&gt;=Inputs!$D$38,W$2&lt;Inputs!$D$34),Inputs!$D$39+Inputs!$D$40,0)</f>
        <v>2300</v>
      </c>
      <c r="X34" s="11" t="n">
        <f aca="false">IF(AND(X$2&gt;=Inputs!$D$38,X$2&lt;Inputs!$D$34),Inputs!$D$39+Inputs!$D$40,0)</f>
        <v>2300</v>
      </c>
      <c r="Y34" s="11" t="n">
        <f aca="false">IF(AND(Y$2&gt;=Inputs!$D$38,Y$2&lt;Inputs!$D$34),Inputs!$D$39+Inputs!$D$40,0)</f>
        <v>2300</v>
      </c>
      <c r="Z34" s="11" t="n">
        <f aca="false">IF(AND(Z$2&gt;=Inputs!$D$38,Z$2&lt;Inputs!$D$34),Inputs!$D$39+Inputs!$D$40,0)</f>
        <v>2300</v>
      </c>
      <c r="AA34" s="11" t="n">
        <f aca="false">IF(AND(AA$2&gt;=Inputs!$D$38,AA$2&lt;Inputs!$D$34),Inputs!$D$39+Inputs!$D$40,0)</f>
        <v>2300</v>
      </c>
      <c r="AB34" s="11" t="n">
        <f aca="false">IF(AND(AB$2&gt;=Inputs!$D$38,AB$2&lt;Inputs!$D$34),Inputs!$D$39+Inputs!$D$40,0)</f>
        <v>0</v>
      </c>
      <c r="AC34" s="11" t="n">
        <f aca="false">IF(AND(AC$2&gt;=Inputs!$D$38,AC$2&lt;Inputs!$D$34),Inputs!$D$39+Inputs!$D$40,0)</f>
        <v>0</v>
      </c>
      <c r="AD34" s="11" t="n">
        <f aca="false">IF(AND(AD$2&gt;=Inputs!$D$38,AD$2&lt;Inputs!$D$34),Inputs!$D$39+Inputs!$D$40,0)</f>
        <v>0</v>
      </c>
      <c r="AE34" s="11" t="n">
        <f aca="false">IF(AND(AE$2&gt;=Inputs!$D$38,AE$2&lt;Inputs!$D$34),Inputs!$D$39+Inputs!$D$40,0)</f>
        <v>0</v>
      </c>
      <c r="AF34" s="11" t="n">
        <f aca="false">IF(AND(AF$2&gt;=Inputs!$D$38,AF$2&lt;Inputs!$D$34),Inputs!$D$39+Inputs!$D$40,0)</f>
        <v>0</v>
      </c>
      <c r="AG34" s="11" t="n">
        <f aca="false">IF(AND(AG$2&gt;=Inputs!$D$38,AG$2&lt;Inputs!$D$34),Inputs!$D$39+Inputs!$D$40,0)</f>
        <v>0</v>
      </c>
      <c r="AH34" s="11" t="n">
        <f aca="false">IF(AND(AH$2&gt;=Inputs!$D$38,AH$2&lt;Inputs!$D$34),Inputs!$D$39+Inputs!$D$40,0)</f>
        <v>0</v>
      </c>
      <c r="AI34" s="11" t="n">
        <f aca="false">IF(AND(AI$2&gt;=Inputs!$D$38,AI$2&lt;Inputs!$D$34),Inputs!$D$39+Inputs!$D$40,0)</f>
        <v>0</v>
      </c>
      <c r="AJ34" s="11" t="n">
        <f aca="false">IF(AND(AJ$2&gt;=Inputs!$D$38,AJ$2&lt;Inputs!$D$34),Inputs!$D$39+Inputs!$D$40,0)</f>
        <v>0</v>
      </c>
      <c r="AK34" s="11" t="n">
        <f aca="false">IF(AND(AK$2&gt;=Inputs!$D$38,AK$2&lt;Inputs!$D$34),Inputs!$D$39+Inputs!$D$40,0)</f>
        <v>0</v>
      </c>
      <c r="AL34" s="11" t="n">
        <f aca="false">IF(AND(AL$2&gt;=Inputs!$D$38,AL$2&lt;Inputs!$D$34),Inputs!$D$39+Inputs!$D$40,0)</f>
        <v>0</v>
      </c>
    </row>
    <row r="35" customFormat="false" ht="15" hidden="false" customHeight="false" outlineLevel="0" collapsed="false">
      <c r="A35" s="2" t="s">
        <v>217</v>
      </c>
      <c r="B35" s="4"/>
      <c r="C35" s="11" t="n">
        <f aca="false">Inputs!$D$42/12</f>
        <v>2083.33333333333</v>
      </c>
      <c r="D35" s="11" t="n">
        <f aca="false">Inputs!$D$42/12</f>
        <v>2083.33333333333</v>
      </c>
      <c r="E35" s="11" t="n">
        <f aca="false">Inputs!$D$42/12</f>
        <v>2083.33333333333</v>
      </c>
      <c r="F35" s="11" t="n">
        <f aca="false">Inputs!$D$42/12</f>
        <v>2083.33333333333</v>
      </c>
      <c r="G35" s="11" t="n">
        <f aca="false">Inputs!$D$42/12</f>
        <v>2083.33333333333</v>
      </c>
      <c r="H35" s="11" t="n">
        <f aca="false">Inputs!$D$42/12</f>
        <v>2083.33333333333</v>
      </c>
      <c r="I35" s="11" t="n">
        <f aca="false">Inputs!$D$42/12</f>
        <v>2083.33333333333</v>
      </c>
      <c r="J35" s="11" t="n">
        <f aca="false">Inputs!$D$42/12</f>
        <v>2083.33333333333</v>
      </c>
      <c r="K35" s="11" t="n">
        <f aca="false">Inputs!$D$42/12</f>
        <v>2083.33333333333</v>
      </c>
      <c r="L35" s="11" t="n">
        <f aca="false">Inputs!$D$42/12</f>
        <v>2083.33333333333</v>
      </c>
      <c r="M35" s="11" t="n">
        <f aca="false">Inputs!$D$42/12</f>
        <v>2083.33333333333</v>
      </c>
      <c r="N35" s="11" t="n">
        <f aca="false">Inputs!$D$42/12</f>
        <v>2083.33333333333</v>
      </c>
      <c r="O35" s="11" t="n">
        <f aca="false">Inputs!$D$42/12</f>
        <v>2083.33333333333</v>
      </c>
      <c r="P35" s="11" t="n">
        <f aca="false">Inputs!$D$42/12</f>
        <v>2083.33333333333</v>
      </c>
      <c r="Q35" s="11" t="n">
        <f aca="false">Inputs!$D$42/12</f>
        <v>2083.33333333333</v>
      </c>
      <c r="R35" s="11" t="n">
        <f aca="false">Inputs!$D$42/12</f>
        <v>2083.33333333333</v>
      </c>
      <c r="S35" s="11" t="n">
        <f aca="false">Inputs!$D$42/12</f>
        <v>2083.33333333333</v>
      </c>
      <c r="T35" s="11" t="n">
        <f aca="false">Inputs!$D$42/12</f>
        <v>2083.33333333333</v>
      </c>
      <c r="U35" s="11" t="n">
        <f aca="false">Inputs!$D$42/12</f>
        <v>2083.33333333333</v>
      </c>
      <c r="V35" s="11" t="n">
        <f aca="false">Inputs!$D$42/12</f>
        <v>2083.33333333333</v>
      </c>
      <c r="W35" s="11" t="n">
        <f aca="false">Inputs!$D$42/12</f>
        <v>2083.33333333333</v>
      </c>
      <c r="X35" s="11" t="n">
        <f aca="false">Inputs!$D$42/12</f>
        <v>2083.33333333333</v>
      </c>
      <c r="Y35" s="11" t="n">
        <f aca="false">Inputs!$D$42/12</f>
        <v>2083.33333333333</v>
      </c>
      <c r="Z35" s="11" t="n">
        <f aca="false">Inputs!$D$42/12</f>
        <v>2083.33333333333</v>
      </c>
      <c r="AA35" s="11" t="n">
        <f aca="false">Inputs!$D$42/12</f>
        <v>2083.33333333333</v>
      </c>
      <c r="AB35" s="11" t="n">
        <f aca="false">Inputs!$D$42/12</f>
        <v>2083.33333333333</v>
      </c>
      <c r="AC35" s="11" t="n">
        <f aca="false">Inputs!$D$42/12</f>
        <v>2083.33333333333</v>
      </c>
      <c r="AD35" s="11" t="n">
        <f aca="false">Inputs!$D$42/12</f>
        <v>2083.33333333333</v>
      </c>
      <c r="AE35" s="11" t="n">
        <f aca="false">Inputs!$D$42/12</f>
        <v>2083.33333333333</v>
      </c>
      <c r="AF35" s="11" t="n">
        <f aca="false">Inputs!$D$42/12</f>
        <v>2083.33333333333</v>
      </c>
      <c r="AG35" s="11" t="n">
        <f aca="false">Inputs!$D$42/12</f>
        <v>2083.33333333333</v>
      </c>
      <c r="AH35" s="11" t="n">
        <f aca="false">Inputs!$D$42/12</f>
        <v>2083.33333333333</v>
      </c>
      <c r="AI35" s="11" t="n">
        <f aca="false">Inputs!$D$42/12</f>
        <v>2083.33333333333</v>
      </c>
      <c r="AJ35" s="11" t="n">
        <f aca="false">Inputs!$D$42/12</f>
        <v>2083.33333333333</v>
      </c>
      <c r="AK35" s="11" t="n">
        <f aca="false">Inputs!$D$42/12</f>
        <v>2083.33333333333</v>
      </c>
      <c r="AL35" s="11" t="n">
        <f aca="false">Inputs!$D$42/12</f>
        <v>2083.33333333333</v>
      </c>
    </row>
    <row r="36" customFormat="false" ht="15" hidden="false" customHeight="false" outlineLevel="0" collapsed="false">
      <c r="A36" s="2" t="s">
        <v>218</v>
      </c>
      <c r="B36" s="4"/>
      <c r="C36" s="11" t="n">
        <f aca="false">(Inputs!$D$43+Inputs!$D$44)/12</f>
        <v>766.666666666667</v>
      </c>
      <c r="D36" s="11" t="n">
        <f aca="false">(Inputs!$D$43+Inputs!$D$44)/12</f>
        <v>766.666666666667</v>
      </c>
      <c r="E36" s="11" t="n">
        <f aca="false">(Inputs!$D$43+Inputs!$D$44)/12</f>
        <v>766.666666666667</v>
      </c>
      <c r="F36" s="11" t="n">
        <f aca="false">(Inputs!$D$43+Inputs!$D$44)/12</f>
        <v>766.666666666667</v>
      </c>
      <c r="G36" s="11" t="n">
        <f aca="false">(Inputs!$D$43+Inputs!$D$44)/12</f>
        <v>766.666666666667</v>
      </c>
      <c r="H36" s="11" t="n">
        <f aca="false">(Inputs!$D$43+Inputs!$D$44)/12</f>
        <v>766.666666666667</v>
      </c>
      <c r="I36" s="11" t="n">
        <f aca="false">(Inputs!$D$43+Inputs!$D$44)/12</f>
        <v>766.666666666667</v>
      </c>
      <c r="J36" s="11" t="n">
        <f aca="false">(Inputs!$D$43+Inputs!$D$44)/12</f>
        <v>766.666666666667</v>
      </c>
      <c r="K36" s="11" t="n">
        <f aca="false">(Inputs!$D$43+Inputs!$D$44)/12</f>
        <v>766.666666666667</v>
      </c>
      <c r="L36" s="11" t="n">
        <f aca="false">(Inputs!$D$43+Inputs!$D$44)/12</f>
        <v>766.666666666667</v>
      </c>
      <c r="M36" s="11" t="n">
        <f aca="false">(Inputs!$D$43+Inputs!$D$44)/12</f>
        <v>766.666666666667</v>
      </c>
      <c r="N36" s="11" t="n">
        <f aca="false">(Inputs!$D$43+Inputs!$D$44)/12</f>
        <v>766.666666666667</v>
      </c>
      <c r="O36" s="11" t="n">
        <f aca="false">(Inputs!$D$43+Inputs!$D$44)/12</f>
        <v>766.666666666667</v>
      </c>
      <c r="P36" s="11" t="n">
        <f aca="false">(Inputs!$D$43+Inputs!$D$44)/12</f>
        <v>766.666666666667</v>
      </c>
      <c r="Q36" s="11" t="n">
        <f aca="false">(Inputs!$D$43+Inputs!$D$44)/12</f>
        <v>766.666666666667</v>
      </c>
      <c r="R36" s="11" t="n">
        <f aca="false">(Inputs!$D$43+Inputs!$D$44)/12</f>
        <v>766.666666666667</v>
      </c>
      <c r="S36" s="11" t="n">
        <f aca="false">(Inputs!$D$43+Inputs!$D$44)/12</f>
        <v>766.666666666667</v>
      </c>
      <c r="T36" s="11" t="n">
        <f aca="false">(Inputs!$D$43+Inputs!$D$44)/12</f>
        <v>766.666666666667</v>
      </c>
      <c r="U36" s="11" t="n">
        <f aca="false">(Inputs!$D$43+Inputs!$D$44)/12</f>
        <v>766.666666666667</v>
      </c>
      <c r="V36" s="11" t="n">
        <f aca="false">(Inputs!$D$43+Inputs!$D$44)/12</f>
        <v>766.666666666667</v>
      </c>
      <c r="W36" s="11" t="n">
        <f aca="false">(Inputs!$D$43+Inputs!$D$44)/12</f>
        <v>766.666666666667</v>
      </c>
      <c r="X36" s="11" t="n">
        <f aca="false">(Inputs!$D$43+Inputs!$D$44)/12</f>
        <v>766.666666666667</v>
      </c>
      <c r="Y36" s="11" t="n">
        <f aca="false">(Inputs!$D$43+Inputs!$D$44)/12</f>
        <v>766.666666666667</v>
      </c>
      <c r="Z36" s="11" t="n">
        <f aca="false">(Inputs!$D$43+Inputs!$D$44)/12</f>
        <v>766.666666666667</v>
      </c>
      <c r="AA36" s="11" t="n">
        <f aca="false">(Inputs!$D$43+Inputs!$D$44)/12</f>
        <v>766.666666666667</v>
      </c>
      <c r="AB36" s="11" t="n">
        <f aca="false">(Inputs!$D$43+Inputs!$D$44)/12</f>
        <v>766.666666666667</v>
      </c>
      <c r="AC36" s="11" t="n">
        <f aca="false">(Inputs!$D$43+Inputs!$D$44)/12</f>
        <v>766.666666666667</v>
      </c>
      <c r="AD36" s="11" t="n">
        <f aca="false">(Inputs!$D$43+Inputs!$D$44)/12</f>
        <v>766.666666666667</v>
      </c>
      <c r="AE36" s="11" t="n">
        <f aca="false">(Inputs!$D$43+Inputs!$D$44)/12</f>
        <v>766.666666666667</v>
      </c>
      <c r="AF36" s="11" t="n">
        <f aca="false">(Inputs!$D$43+Inputs!$D$44)/12</f>
        <v>766.666666666667</v>
      </c>
      <c r="AG36" s="11" t="n">
        <f aca="false">(Inputs!$D$43+Inputs!$D$44)/12</f>
        <v>766.666666666667</v>
      </c>
      <c r="AH36" s="11" t="n">
        <f aca="false">(Inputs!$D$43+Inputs!$D$44)/12</f>
        <v>766.666666666667</v>
      </c>
      <c r="AI36" s="11" t="n">
        <f aca="false">(Inputs!$D$43+Inputs!$D$44)/12</f>
        <v>766.666666666667</v>
      </c>
      <c r="AJ36" s="11" t="n">
        <f aca="false">(Inputs!$D$43+Inputs!$D$44)/12</f>
        <v>766.666666666667</v>
      </c>
      <c r="AK36" s="11" t="n">
        <f aca="false">(Inputs!$D$43+Inputs!$D$44)/12</f>
        <v>766.666666666667</v>
      </c>
      <c r="AL36" s="11" t="n">
        <f aca="false">(Inputs!$D$43+Inputs!$D$44)/12</f>
        <v>766.666666666667</v>
      </c>
    </row>
    <row r="37" customFormat="false" ht="15" hidden="false" customHeight="false" outlineLevel="0" collapsed="false">
      <c r="A37" s="2" t="s">
        <v>219</v>
      </c>
      <c r="B37" s="4"/>
      <c r="C37" s="11" t="n">
        <f aca="false">Inputs!$D$45</f>
        <v>1000</v>
      </c>
      <c r="D37" s="11" t="n">
        <f aca="false">Inputs!$D$45</f>
        <v>1000</v>
      </c>
      <c r="E37" s="11" t="n">
        <f aca="false">Inputs!$D$45</f>
        <v>1000</v>
      </c>
      <c r="F37" s="11" t="n">
        <f aca="false">Inputs!$D$45</f>
        <v>1000</v>
      </c>
      <c r="G37" s="11" t="n">
        <f aca="false">Inputs!$D$45</f>
        <v>1000</v>
      </c>
      <c r="H37" s="11" t="n">
        <f aca="false">Inputs!$D$45</f>
        <v>1000</v>
      </c>
      <c r="I37" s="11" t="n">
        <f aca="false">Inputs!$D$45</f>
        <v>1000</v>
      </c>
      <c r="J37" s="11" t="n">
        <f aca="false">Inputs!$D$45</f>
        <v>1000</v>
      </c>
      <c r="K37" s="11" t="n">
        <f aca="false">Inputs!$D$45</f>
        <v>1000</v>
      </c>
      <c r="L37" s="11" t="n">
        <f aca="false">Inputs!$D$45</f>
        <v>1000</v>
      </c>
      <c r="M37" s="11" t="n">
        <f aca="false">Inputs!$D$45</f>
        <v>1000</v>
      </c>
      <c r="N37" s="11" t="n">
        <f aca="false">Inputs!$D$45</f>
        <v>1000</v>
      </c>
      <c r="O37" s="11" t="n">
        <f aca="false">Inputs!$D$45</f>
        <v>1000</v>
      </c>
      <c r="P37" s="11" t="n">
        <f aca="false">Inputs!$D$45</f>
        <v>1000</v>
      </c>
      <c r="Q37" s="11" t="n">
        <f aca="false">Inputs!$D$45</f>
        <v>1000</v>
      </c>
      <c r="R37" s="11" t="n">
        <f aca="false">Inputs!$D$45</f>
        <v>1000</v>
      </c>
      <c r="S37" s="11" t="n">
        <f aca="false">Inputs!$D$45</f>
        <v>1000</v>
      </c>
      <c r="T37" s="11" t="n">
        <f aca="false">Inputs!$D$45</f>
        <v>1000</v>
      </c>
      <c r="U37" s="11" t="n">
        <f aca="false">Inputs!$D$45</f>
        <v>1000</v>
      </c>
      <c r="V37" s="11" t="n">
        <f aca="false">Inputs!$D$45</f>
        <v>1000</v>
      </c>
      <c r="W37" s="11" t="n">
        <f aca="false">Inputs!$D$45</f>
        <v>1000</v>
      </c>
      <c r="X37" s="11" t="n">
        <f aca="false">Inputs!$D$45</f>
        <v>1000</v>
      </c>
      <c r="Y37" s="11" t="n">
        <f aca="false">Inputs!$D$45</f>
        <v>1000</v>
      </c>
      <c r="Z37" s="11" t="n">
        <f aca="false">Inputs!$D$45</f>
        <v>1000</v>
      </c>
      <c r="AA37" s="11" t="n">
        <f aca="false">Inputs!$D$45</f>
        <v>1000</v>
      </c>
      <c r="AB37" s="11" t="n">
        <f aca="false">Inputs!$D$45</f>
        <v>1000</v>
      </c>
      <c r="AC37" s="11" t="n">
        <f aca="false">Inputs!$D$45</f>
        <v>1000</v>
      </c>
      <c r="AD37" s="11" t="n">
        <f aca="false">Inputs!$D$45</f>
        <v>1000</v>
      </c>
      <c r="AE37" s="11" t="n">
        <f aca="false">Inputs!$D$45</f>
        <v>1000</v>
      </c>
      <c r="AF37" s="11" t="n">
        <f aca="false">Inputs!$D$45</f>
        <v>1000</v>
      </c>
      <c r="AG37" s="11" t="n">
        <f aca="false">Inputs!$D$45</f>
        <v>1000</v>
      </c>
      <c r="AH37" s="11" t="n">
        <f aca="false">Inputs!$D$45</f>
        <v>1000</v>
      </c>
      <c r="AI37" s="11" t="n">
        <f aca="false">Inputs!$D$45</f>
        <v>1000</v>
      </c>
      <c r="AJ37" s="11" t="n">
        <f aca="false">Inputs!$D$45</f>
        <v>1000</v>
      </c>
      <c r="AK37" s="11" t="n">
        <f aca="false">Inputs!$D$45</f>
        <v>1000</v>
      </c>
      <c r="AL37" s="11" t="n">
        <f aca="false">Inputs!$D$45</f>
        <v>1000</v>
      </c>
    </row>
    <row r="38" customFormat="false" ht="15" hidden="false" customHeight="false" outlineLevel="0" collapsed="false">
      <c r="A38" s="2" t="s">
        <v>220</v>
      </c>
      <c r="B38" s="4"/>
      <c r="C38" s="11" t="n">
        <f aca="false">Inputs!$D$46+IF(C$2&lt;=3,Inputs!$D$47/3,0)</f>
        <v>5000</v>
      </c>
      <c r="D38" s="11" t="n">
        <f aca="false">Inputs!$D$46+IF(D$2&lt;=3,Inputs!$D$47/3,0)</f>
        <v>5000</v>
      </c>
      <c r="E38" s="11" t="n">
        <f aca="false">Inputs!$D$46+IF(E$2&lt;=3,Inputs!$D$47/3,0)</f>
        <v>5000</v>
      </c>
      <c r="F38" s="11" t="n">
        <f aca="false">Inputs!$D$46+IF(F$2&lt;=3,Inputs!$D$47/3,0)</f>
        <v>1000</v>
      </c>
      <c r="G38" s="11" t="n">
        <f aca="false">Inputs!$D$46+IF(G$2&lt;=3,Inputs!$D$47/3,0)</f>
        <v>1000</v>
      </c>
      <c r="H38" s="11" t="n">
        <f aca="false">Inputs!$D$46+IF(H$2&lt;=3,Inputs!$D$47/3,0)</f>
        <v>1000</v>
      </c>
      <c r="I38" s="11" t="n">
        <f aca="false">Inputs!$D$46+IF(I$2&lt;=3,Inputs!$D$47/3,0)</f>
        <v>1000</v>
      </c>
      <c r="J38" s="11" t="n">
        <f aca="false">Inputs!$D$46+IF(J$2&lt;=3,Inputs!$D$47/3,0)</f>
        <v>1000</v>
      </c>
      <c r="K38" s="11" t="n">
        <f aca="false">Inputs!$D$46+IF(K$2&lt;=3,Inputs!$D$47/3,0)</f>
        <v>1000</v>
      </c>
      <c r="L38" s="11" t="n">
        <f aca="false">Inputs!$D$46+IF(L$2&lt;=3,Inputs!$D$47/3,0)</f>
        <v>1000</v>
      </c>
      <c r="M38" s="11" t="n">
        <f aca="false">Inputs!$D$46+IF(M$2&lt;=3,Inputs!$D$47/3,0)</f>
        <v>1000</v>
      </c>
      <c r="N38" s="11" t="n">
        <f aca="false">Inputs!$D$46+IF(N$2&lt;=3,Inputs!$D$47/3,0)</f>
        <v>1000</v>
      </c>
      <c r="O38" s="11" t="n">
        <f aca="false">Inputs!$D$46+IF(O$2&lt;=3,Inputs!$D$47/3,0)</f>
        <v>1000</v>
      </c>
      <c r="P38" s="11" t="n">
        <f aca="false">Inputs!$D$46+IF(P$2&lt;=3,Inputs!$D$47/3,0)</f>
        <v>1000</v>
      </c>
      <c r="Q38" s="11" t="n">
        <f aca="false">Inputs!$D$46+IF(Q$2&lt;=3,Inputs!$D$47/3,0)</f>
        <v>1000</v>
      </c>
      <c r="R38" s="11" t="n">
        <f aca="false">Inputs!$D$46+IF(R$2&lt;=3,Inputs!$D$47/3,0)</f>
        <v>1000</v>
      </c>
      <c r="S38" s="11" t="n">
        <f aca="false">Inputs!$D$46+IF(S$2&lt;=3,Inputs!$D$47/3,0)</f>
        <v>1000</v>
      </c>
      <c r="T38" s="11" t="n">
        <f aca="false">Inputs!$D$46+IF(T$2&lt;=3,Inputs!$D$47/3,0)</f>
        <v>1000</v>
      </c>
      <c r="U38" s="11" t="n">
        <f aca="false">Inputs!$D$46+IF(U$2&lt;=3,Inputs!$D$47/3,0)</f>
        <v>1000</v>
      </c>
      <c r="V38" s="11" t="n">
        <f aca="false">Inputs!$D$46+IF(V$2&lt;=3,Inputs!$D$47/3,0)</f>
        <v>1000</v>
      </c>
      <c r="W38" s="11" t="n">
        <f aca="false">Inputs!$D$46+IF(W$2&lt;=3,Inputs!$D$47/3,0)</f>
        <v>1000</v>
      </c>
      <c r="X38" s="11" t="n">
        <f aca="false">Inputs!$D$46+IF(X$2&lt;=3,Inputs!$D$47/3,0)</f>
        <v>1000</v>
      </c>
      <c r="Y38" s="11" t="n">
        <f aca="false">Inputs!$D$46+IF(Y$2&lt;=3,Inputs!$D$47/3,0)</f>
        <v>1000</v>
      </c>
      <c r="Z38" s="11" t="n">
        <f aca="false">Inputs!$D$46+IF(Z$2&lt;=3,Inputs!$D$47/3,0)</f>
        <v>1000</v>
      </c>
      <c r="AA38" s="11" t="n">
        <f aca="false">Inputs!$D$46+IF(AA$2&lt;=3,Inputs!$D$47/3,0)</f>
        <v>1000</v>
      </c>
      <c r="AB38" s="11" t="n">
        <f aca="false">Inputs!$D$46+IF(AB$2&lt;=3,Inputs!$D$47/3,0)</f>
        <v>1000</v>
      </c>
      <c r="AC38" s="11" t="n">
        <f aca="false">Inputs!$D$46+IF(AC$2&lt;=3,Inputs!$D$47/3,0)</f>
        <v>1000</v>
      </c>
      <c r="AD38" s="11" t="n">
        <f aca="false">Inputs!$D$46+IF(AD$2&lt;=3,Inputs!$D$47/3,0)</f>
        <v>1000</v>
      </c>
      <c r="AE38" s="11" t="n">
        <f aca="false">Inputs!$D$46+IF(AE$2&lt;=3,Inputs!$D$47/3,0)</f>
        <v>1000</v>
      </c>
      <c r="AF38" s="11" t="n">
        <f aca="false">Inputs!$D$46+IF(AF$2&lt;=3,Inputs!$D$47/3,0)</f>
        <v>1000</v>
      </c>
      <c r="AG38" s="11" t="n">
        <f aca="false">Inputs!$D$46+IF(AG$2&lt;=3,Inputs!$D$47/3,0)</f>
        <v>1000</v>
      </c>
      <c r="AH38" s="11" t="n">
        <f aca="false">Inputs!$D$46+IF(AH$2&lt;=3,Inputs!$D$47/3,0)</f>
        <v>1000</v>
      </c>
      <c r="AI38" s="11" t="n">
        <f aca="false">Inputs!$D$46+IF(AI$2&lt;=3,Inputs!$D$47/3,0)</f>
        <v>1000</v>
      </c>
      <c r="AJ38" s="11" t="n">
        <f aca="false">Inputs!$D$46+IF(AJ$2&lt;=3,Inputs!$D$47/3,0)</f>
        <v>1000</v>
      </c>
      <c r="AK38" s="11" t="n">
        <f aca="false">Inputs!$D$46+IF(AK$2&lt;=3,Inputs!$D$47/3,0)</f>
        <v>1000</v>
      </c>
      <c r="AL38" s="11" t="n">
        <f aca="false">Inputs!$D$46+IF(AL$2&lt;=3,Inputs!$D$47/3,0)</f>
        <v>1000</v>
      </c>
    </row>
    <row r="39" customFormat="false" ht="15" hidden="false" customHeight="false" outlineLevel="0" collapsed="false">
      <c r="A39" s="2" t="s">
        <v>221</v>
      </c>
      <c r="B39" s="4"/>
      <c r="C39" s="11" t="n">
        <f aca="false">CHOOSE(C$3,Inputs!$D$48,Inputs!$D$49,Inputs!$D$50)/12</f>
        <v>2716.58333333333</v>
      </c>
      <c r="D39" s="11" t="n">
        <f aca="false">CHOOSE(D$3,Inputs!$D$48,Inputs!$D$49,Inputs!$D$50)/12</f>
        <v>2716.58333333333</v>
      </c>
      <c r="E39" s="11" t="n">
        <f aca="false">CHOOSE(E$3,Inputs!$D$48,Inputs!$D$49,Inputs!$D$50)/12</f>
        <v>2716.58333333333</v>
      </c>
      <c r="F39" s="11" t="n">
        <f aca="false">CHOOSE(F$3,Inputs!$D$48,Inputs!$D$49,Inputs!$D$50)/12</f>
        <v>2716.58333333333</v>
      </c>
      <c r="G39" s="11" t="n">
        <f aca="false">CHOOSE(G$3,Inputs!$D$48,Inputs!$D$49,Inputs!$D$50)/12</f>
        <v>2716.58333333333</v>
      </c>
      <c r="H39" s="11" t="n">
        <f aca="false">CHOOSE(H$3,Inputs!$D$48,Inputs!$D$49,Inputs!$D$50)/12</f>
        <v>2716.58333333333</v>
      </c>
      <c r="I39" s="11" t="n">
        <f aca="false">CHOOSE(I$3,Inputs!$D$48,Inputs!$D$49,Inputs!$D$50)/12</f>
        <v>2716.58333333333</v>
      </c>
      <c r="J39" s="11" t="n">
        <f aca="false">CHOOSE(J$3,Inputs!$D$48,Inputs!$D$49,Inputs!$D$50)/12</f>
        <v>2716.58333333333</v>
      </c>
      <c r="K39" s="11" t="n">
        <f aca="false">CHOOSE(K$3,Inputs!$D$48,Inputs!$D$49,Inputs!$D$50)/12</f>
        <v>2716.58333333333</v>
      </c>
      <c r="L39" s="11" t="n">
        <f aca="false">CHOOSE(L$3,Inputs!$D$48,Inputs!$D$49,Inputs!$D$50)/12</f>
        <v>2716.58333333333</v>
      </c>
      <c r="M39" s="11" t="n">
        <f aca="false">CHOOSE(M$3,Inputs!$D$48,Inputs!$D$49,Inputs!$D$50)/12</f>
        <v>2716.58333333333</v>
      </c>
      <c r="N39" s="11" t="n">
        <f aca="false">CHOOSE(N$3,Inputs!$D$48,Inputs!$D$49,Inputs!$D$50)/12</f>
        <v>2716.58333333333</v>
      </c>
      <c r="O39" s="11" t="n">
        <f aca="false">CHOOSE(O$3,Inputs!$D$48,Inputs!$D$49,Inputs!$D$50)/12</f>
        <v>3553.75</v>
      </c>
      <c r="P39" s="11" t="n">
        <f aca="false">CHOOSE(P$3,Inputs!$D$48,Inputs!$D$49,Inputs!$D$50)/12</f>
        <v>3553.75</v>
      </c>
      <c r="Q39" s="11" t="n">
        <f aca="false">CHOOSE(Q$3,Inputs!$D$48,Inputs!$D$49,Inputs!$D$50)/12</f>
        <v>3553.75</v>
      </c>
      <c r="R39" s="11" t="n">
        <f aca="false">CHOOSE(R$3,Inputs!$D$48,Inputs!$D$49,Inputs!$D$50)/12</f>
        <v>3553.75</v>
      </c>
      <c r="S39" s="11" t="n">
        <f aca="false">CHOOSE(S$3,Inputs!$D$48,Inputs!$D$49,Inputs!$D$50)/12</f>
        <v>3553.75</v>
      </c>
      <c r="T39" s="11" t="n">
        <f aca="false">CHOOSE(T$3,Inputs!$D$48,Inputs!$D$49,Inputs!$D$50)/12</f>
        <v>3553.75</v>
      </c>
      <c r="U39" s="11" t="n">
        <f aca="false">CHOOSE(U$3,Inputs!$D$48,Inputs!$D$49,Inputs!$D$50)/12</f>
        <v>3553.75</v>
      </c>
      <c r="V39" s="11" t="n">
        <f aca="false">CHOOSE(V$3,Inputs!$D$48,Inputs!$D$49,Inputs!$D$50)/12</f>
        <v>3553.75</v>
      </c>
      <c r="W39" s="11" t="n">
        <f aca="false">CHOOSE(W$3,Inputs!$D$48,Inputs!$D$49,Inputs!$D$50)/12</f>
        <v>3553.75</v>
      </c>
      <c r="X39" s="11" t="n">
        <f aca="false">CHOOSE(X$3,Inputs!$D$48,Inputs!$D$49,Inputs!$D$50)/12</f>
        <v>3553.75</v>
      </c>
      <c r="Y39" s="11" t="n">
        <f aca="false">CHOOSE(Y$3,Inputs!$D$48,Inputs!$D$49,Inputs!$D$50)/12</f>
        <v>3553.75</v>
      </c>
      <c r="Z39" s="11" t="n">
        <f aca="false">CHOOSE(Z$3,Inputs!$D$48,Inputs!$D$49,Inputs!$D$50)/12</f>
        <v>3553.75</v>
      </c>
      <c r="AA39" s="11" t="n">
        <f aca="false">CHOOSE(AA$3,Inputs!$D$48,Inputs!$D$49,Inputs!$D$50)/12</f>
        <v>4815.41666666667</v>
      </c>
      <c r="AB39" s="11" t="n">
        <f aca="false">CHOOSE(AB$3,Inputs!$D$48,Inputs!$D$49,Inputs!$D$50)/12</f>
        <v>4815.41666666667</v>
      </c>
      <c r="AC39" s="11" t="n">
        <f aca="false">CHOOSE(AC$3,Inputs!$D$48,Inputs!$D$49,Inputs!$D$50)/12</f>
        <v>4815.41666666667</v>
      </c>
      <c r="AD39" s="11" t="n">
        <f aca="false">CHOOSE(AD$3,Inputs!$D$48,Inputs!$D$49,Inputs!$D$50)/12</f>
        <v>4815.41666666667</v>
      </c>
      <c r="AE39" s="11" t="n">
        <f aca="false">CHOOSE(AE$3,Inputs!$D$48,Inputs!$D$49,Inputs!$D$50)/12</f>
        <v>4815.41666666667</v>
      </c>
      <c r="AF39" s="11" t="n">
        <f aca="false">CHOOSE(AF$3,Inputs!$D$48,Inputs!$D$49,Inputs!$D$50)/12</f>
        <v>4815.41666666667</v>
      </c>
      <c r="AG39" s="11" t="n">
        <f aca="false">CHOOSE(AG$3,Inputs!$D$48,Inputs!$D$49,Inputs!$D$50)/12</f>
        <v>4815.41666666667</v>
      </c>
      <c r="AH39" s="11" t="n">
        <f aca="false">CHOOSE(AH$3,Inputs!$D$48,Inputs!$D$49,Inputs!$D$50)/12</f>
        <v>4815.41666666667</v>
      </c>
      <c r="AI39" s="11" t="n">
        <f aca="false">CHOOSE(AI$3,Inputs!$D$48,Inputs!$D$49,Inputs!$D$50)/12</f>
        <v>4815.41666666667</v>
      </c>
      <c r="AJ39" s="11" t="n">
        <f aca="false">CHOOSE(AJ$3,Inputs!$D$48,Inputs!$D$49,Inputs!$D$50)/12</f>
        <v>4815.41666666667</v>
      </c>
      <c r="AK39" s="11" t="n">
        <f aca="false">CHOOSE(AK$3,Inputs!$D$48,Inputs!$D$49,Inputs!$D$50)/12</f>
        <v>4815.41666666667</v>
      </c>
      <c r="AL39" s="11" t="n">
        <f aca="false">CHOOSE(AL$3,Inputs!$D$48,Inputs!$D$49,Inputs!$D$50)/12</f>
        <v>4815.41666666667</v>
      </c>
    </row>
    <row r="40" customFormat="false" ht="15" hidden="false" customHeight="false" outlineLevel="0" collapsed="false">
      <c r="A40" s="3" t="s">
        <v>222</v>
      </c>
      <c r="B40" s="4"/>
      <c r="C40" s="11" t="n">
        <f aca="false">SUM(C31:C39)</f>
        <v>17846.1666666667</v>
      </c>
      <c r="D40" s="11" t="n">
        <f aca="false">SUM(D31:D39)</f>
        <v>17846.1666666667</v>
      </c>
      <c r="E40" s="11" t="n">
        <f aca="false">SUM(E31:E39)</f>
        <v>17846.1666666667</v>
      </c>
      <c r="F40" s="11" t="n">
        <f aca="false">SUM(F31:F39)</f>
        <v>13846.1666666667</v>
      </c>
      <c r="G40" s="11" t="n">
        <f aca="false">SUM(G31:G39)</f>
        <v>13846.1666666667</v>
      </c>
      <c r="H40" s="11" t="n">
        <f aca="false">SUM(H31:H39)</f>
        <v>16146.1666666667</v>
      </c>
      <c r="I40" s="11" t="n">
        <f aca="false">SUM(I31:I39)</f>
        <v>16146.1666666667</v>
      </c>
      <c r="J40" s="11" t="n">
        <f aca="false">SUM(J31:J39)</f>
        <v>16146.1666666667</v>
      </c>
      <c r="K40" s="11" t="n">
        <f aca="false">SUM(K31:K39)</f>
        <v>16146.1666666667</v>
      </c>
      <c r="L40" s="11" t="n">
        <f aca="false">SUM(L31:L39)</f>
        <v>16146.1666666667</v>
      </c>
      <c r="M40" s="11" t="n">
        <f aca="false">SUM(M31:M39)</f>
        <v>16146.1666666667</v>
      </c>
      <c r="N40" s="11" t="n">
        <f aca="false">SUM(N31:N39)</f>
        <v>16146.1666666667</v>
      </c>
      <c r="O40" s="11" t="n">
        <f aca="false">SUM(O31:O39)</f>
        <v>19674.5833333333</v>
      </c>
      <c r="P40" s="11" t="n">
        <f aca="false">SUM(P31:P39)</f>
        <v>19674.5833333333</v>
      </c>
      <c r="Q40" s="11" t="n">
        <f aca="false">SUM(Q31:Q39)</f>
        <v>19674.5833333333</v>
      </c>
      <c r="R40" s="11" t="n">
        <f aca="false">SUM(R31:R39)</f>
        <v>19674.5833333333</v>
      </c>
      <c r="S40" s="11" t="n">
        <f aca="false">SUM(S31:S39)</f>
        <v>19674.5833333333</v>
      </c>
      <c r="T40" s="11" t="n">
        <f aca="false">SUM(T31:T39)</f>
        <v>19674.5833333333</v>
      </c>
      <c r="U40" s="11" t="n">
        <f aca="false">SUM(U31:U39)</f>
        <v>19674.5833333333</v>
      </c>
      <c r="V40" s="11" t="n">
        <f aca="false">SUM(V31:V39)</f>
        <v>19674.5833333333</v>
      </c>
      <c r="W40" s="11" t="n">
        <f aca="false">SUM(W31:W39)</f>
        <v>19674.5833333333</v>
      </c>
      <c r="X40" s="11" t="n">
        <f aca="false">SUM(X31:X39)</f>
        <v>19674.5833333333</v>
      </c>
      <c r="Y40" s="11" t="n">
        <f aca="false">SUM(Y31:Y39)</f>
        <v>19674.5833333333</v>
      </c>
      <c r="Z40" s="11" t="n">
        <f aca="false">SUM(Z31:Z39)</f>
        <v>19674.5833333333</v>
      </c>
      <c r="AA40" s="11" t="n">
        <f aca="false">SUM(AA31:AA39)</f>
        <v>23627.5</v>
      </c>
      <c r="AB40" s="11" t="n">
        <f aca="false">SUM(AB31:AB39)</f>
        <v>28619.1666666667</v>
      </c>
      <c r="AC40" s="11" t="n">
        <f aca="false">SUM(AC31:AC39)</f>
        <v>28619.1666666667</v>
      </c>
      <c r="AD40" s="11" t="n">
        <f aca="false">SUM(AD31:AD39)</f>
        <v>28619.1666666667</v>
      </c>
      <c r="AE40" s="11" t="n">
        <f aca="false">SUM(AE31:AE39)</f>
        <v>28619.1666666667</v>
      </c>
      <c r="AF40" s="11" t="n">
        <f aca="false">SUM(AF31:AF39)</f>
        <v>28619.1666666667</v>
      </c>
      <c r="AG40" s="11" t="n">
        <f aca="false">SUM(AG31:AG39)</f>
        <v>28619.1666666667</v>
      </c>
      <c r="AH40" s="11" t="n">
        <f aca="false">SUM(AH31:AH39)</f>
        <v>28619.1666666667</v>
      </c>
      <c r="AI40" s="11" t="n">
        <f aca="false">SUM(AI31:AI39)</f>
        <v>28619.1666666667</v>
      </c>
      <c r="AJ40" s="11" t="n">
        <f aca="false">SUM(AJ31:AJ39)</f>
        <v>28619.1666666667</v>
      </c>
      <c r="AK40" s="11" t="n">
        <f aca="false">SUM(AK31:AK39)</f>
        <v>28619.1666666667</v>
      </c>
      <c r="AL40" s="11" t="n">
        <f aca="false">SUM(AL31:AL39)</f>
        <v>28619.1666666667</v>
      </c>
    </row>
    <row r="41" customFormat="false" ht="15" hidden="false" customHeight="false" outlineLevel="0" collapsed="false">
      <c r="A41" s="3" t="s">
        <v>223</v>
      </c>
      <c r="B41" s="4"/>
      <c r="C41" s="11" t="n">
        <f aca="false">C29-C40</f>
        <v>-12346.1666666667</v>
      </c>
      <c r="D41" s="11" t="n">
        <f aca="false">D29-D40</f>
        <v>-17846.1666666667</v>
      </c>
      <c r="E41" s="11" t="n">
        <f aca="false">E29-E40</f>
        <v>-7706.16666666667</v>
      </c>
      <c r="F41" s="11" t="n">
        <f aca="false">F29-F40</f>
        <v>-11426.1666666667</v>
      </c>
      <c r="G41" s="11" t="n">
        <f aca="false">G29-G40</f>
        <v>-11426.1666666667</v>
      </c>
      <c r="H41" s="11" t="n">
        <f aca="false">H29-H40</f>
        <v>-11113.6666666667</v>
      </c>
      <c r="I41" s="11" t="n">
        <f aca="false">I29-I40</f>
        <v>-9068.66666666667</v>
      </c>
      <c r="J41" s="11" t="n">
        <f aca="false">J29-J40</f>
        <v>-13193.6666666667</v>
      </c>
      <c r="K41" s="11" t="n">
        <f aca="false">K29-K40</f>
        <v>-4428.66666666667</v>
      </c>
      <c r="L41" s="11" t="n">
        <f aca="false">L29-L40</f>
        <v>-6998.66666666667</v>
      </c>
      <c r="M41" s="11" t="n">
        <f aca="false">M29-M40</f>
        <v>-8723.66666666667</v>
      </c>
      <c r="N41" s="11" t="n">
        <f aca="false">N29-N40</f>
        <v>-4226.16666666667</v>
      </c>
      <c r="O41" s="11" t="n">
        <f aca="false">O29-O40</f>
        <v>-7943.33333333334</v>
      </c>
      <c r="P41" s="11" t="n">
        <f aca="false">P29-P40</f>
        <v>-9668.33333333334</v>
      </c>
      <c r="Q41" s="11" t="n">
        <f aca="false">Q29-Q40</f>
        <v>-5160.20833333334</v>
      </c>
      <c r="R41" s="11" t="n">
        <f aca="false">R29-R40</f>
        <v>-7287.70833333334</v>
      </c>
      <c r="S41" s="11" t="n">
        <f aca="false">S29-S40</f>
        <v>-5242.70833333334</v>
      </c>
      <c r="T41" s="11" t="n">
        <f aca="false">T29-T40</f>
        <v>-6744.58333333334</v>
      </c>
      <c r="U41" s="11" t="n">
        <f aca="false">U29-U40</f>
        <v>-2459.58333333334</v>
      </c>
      <c r="V41" s="11" t="n">
        <f aca="false">V29-V40</f>
        <v>9287.91666666666</v>
      </c>
      <c r="W41" s="11" t="n">
        <f aca="false">W29-W40</f>
        <v>-6667.08333333334</v>
      </c>
      <c r="X41" s="11" t="n">
        <f aca="false">X29-X40</f>
        <v>6446.04166666666</v>
      </c>
      <c r="Y41" s="11" t="n">
        <f aca="false">Y29-Y40</f>
        <v>-4286.45833333334</v>
      </c>
      <c r="Z41" s="11" t="n">
        <f aca="false">Z29-Z40</f>
        <v>6203.54166666666</v>
      </c>
      <c r="AA41" s="11" t="n">
        <f aca="false">AA29-AA40</f>
        <v>-1325.3125</v>
      </c>
      <c r="AB41" s="11" t="n">
        <f aca="false">AB29-AB40</f>
        <v>-1676.97916666667</v>
      </c>
      <c r="AC41" s="11" t="n">
        <f aca="false">AC29-AC40</f>
        <v>-1593.32291666667</v>
      </c>
      <c r="AD41" s="11" t="n">
        <f aca="false">AD29-AD40</f>
        <v>-1903.94791666667</v>
      </c>
      <c r="AE41" s="11" t="n">
        <f aca="false">AE29-AE40</f>
        <v>-5794.66666666667</v>
      </c>
      <c r="AF41" s="11" t="n">
        <f aca="false">AF29-AF40</f>
        <v>16204.6145833333</v>
      </c>
      <c r="AG41" s="11" t="n">
        <f aca="false">AG29-AG40</f>
        <v>813.989583333332</v>
      </c>
      <c r="AH41" s="11" t="n">
        <f aca="false">AH29-AH40</f>
        <v>-3311.01041666667</v>
      </c>
      <c r="AI41" s="11" t="n">
        <f aca="false">AI29-AI40</f>
        <v>7413.27083333333</v>
      </c>
      <c r="AJ41" s="11" t="n">
        <f aca="false">AJ29-AJ40</f>
        <v>5377.64583333333</v>
      </c>
      <c r="AK41" s="11" t="n">
        <f aca="false">AK29-AK40</f>
        <v>5537.64583333333</v>
      </c>
      <c r="AL41" s="11" t="n">
        <f aca="false">AL29-AL40</f>
        <v>11826.3020833333</v>
      </c>
    </row>
    <row r="42" customFormat="false" ht="15" hidden="false" customHeight="false" outlineLevel="0" collapsed="false">
      <c r="A42" s="2" t="s">
        <v>224</v>
      </c>
      <c r="B42" s="4"/>
      <c r="C42" s="11" t="n">
        <f aca="false">SUM(INDEX($C$41:$AL$41,MAX(1,C$2-11)):C41)</f>
        <v>-12346.1666666667</v>
      </c>
      <c r="D42" s="11" t="n">
        <f aca="false">SUM(INDEX($C$41:$AL$41,MAX(1,D$2-11)):D41)</f>
        <v>-30192.3333333333</v>
      </c>
      <c r="E42" s="11" t="n">
        <f aca="false">SUM(INDEX($C$41:$AL$41,MAX(1,E$2-11)):E41)</f>
        <v>-37898.5</v>
      </c>
      <c r="F42" s="11" t="n">
        <f aca="false">SUM(INDEX($C$41:$AL$41,MAX(1,F$2-11)):F41)</f>
        <v>-49324.6666666667</v>
      </c>
      <c r="G42" s="11" t="n">
        <f aca="false">SUM(INDEX($C$41:$AL$41,MAX(1,G$2-11)):G41)</f>
        <v>-60750.8333333333</v>
      </c>
      <c r="H42" s="11" t="n">
        <f aca="false">SUM(INDEX($C$41:$AL$41,MAX(1,H$2-11)):H41)</f>
        <v>-71864.5</v>
      </c>
      <c r="I42" s="11" t="n">
        <f aca="false">SUM(INDEX($C$41:$AL$41,MAX(1,I$2-11)):I41)</f>
        <v>-80933.1666666667</v>
      </c>
      <c r="J42" s="11" t="n">
        <f aca="false">SUM(INDEX($C$41:$AL$41,MAX(1,J$2-11)):J41)</f>
        <v>-94126.8333333333</v>
      </c>
      <c r="K42" s="11" t="n">
        <f aca="false">SUM(INDEX($C$41:$AL$41,MAX(1,K$2-11)):K41)</f>
        <v>-98555.5</v>
      </c>
      <c r="L42" s="11" t="n">
        <f aca="false">SUM(INDEX($C$41:$AL$41,MAX(1,L$2-11)):L41)</f>
        <v>-105554.166666667</v>
      </c>
      <c r="M42" s="11" t="n">
        <f aca="false">SUM(INDEX($C$41:$AL$41,MAX(1,M$2-11)):M41)</f>
        <v>-114277.833333333</v>
      </c>
      <c r="N42" s="11" t="n">
        <f aca="false">SUM(INDEX($C$41:$AL$41,MAX(1,N$2-11)):N41)</f>
        <v>-118504</v>
      </c>
      <c r="O42" s="11" t="n">
        <f aca="false">SUM(INDEX($C$41:$AL$41,MAX(1,O$2-11)):O41)</f>
        <v>-114101.166666667</v>
      </c>
      <c r="P42" s="11" t="n">
        <f aca="false">SUM(INDEX($C$41:$AL$41,MAX(1,P$2-11)):P41)</f>
        <v>-105923.333333333</v>
      </c>
      <c r="Q42" s="11" t="n">
        <f aca="false">SUM(INDEX($C$41:$AL$41,MAX(1,Q$2-11)):Q41)</f>
        <v>-103377.375</v>
      </c>
      <c r="R42" s="11" t="n">
        <f aca="false">SUM(INDEX($C$41:$AL$41,MAX(1,R$2-11)):R41)</f>
        <v>-99238.9166666667</v>
      </c>
      <c r="S42" s="11" t="n">
        <f aca="false">SUM(INDEX($C$41:$AL$41,MAX(1,S$2-11)):S41)</f>
        <v>-93055.4583333333</v>
      </c>
      <c r="T42" s="11" t="n">
        <f aca="false">SUM(INDEX($C$41:$AL$41,MAX(1,T$2-11)):T41)</f>
        <v>-88686.375</v>
      </c>
      <c r="U42" s="11" t="n">
        <f aca="false">SUM(INDEX($C$41:$AL$41,MAX(1,U$2-11)):U41)</f>
        <v>-82077.2916666667</v>
      </c>
      <c r="V42" s="11" t="n">
        <f aca="false">SUM(INDEX($C$41:$AL$41,MAX(1,V$2-11)):V41)</f>
        <v>-59595.7083333334</v>
      </c>
      <c r="W42" s="11" t="n">
        <f aca="false">SUM(INDEX($C$41:$AL$41,MAX(1,W$2-11)):W41)</f>
        <v>-61834.125</v>
      </c>
      <c r="X42" s="11" t="n">
        <f aca="false">SUM(INDEX($C$41:$AL$41,MAX(1,X$2-11)):X41)</f>
        <v>-48389.4166666667</v>
      </c>
      <c r="Y42" s="11" t="n">
        <f aca="false">SUM(INDEX($C$41:$AL$41,MAX(1,Y$2-11)):Y41)</f>
        <v>-43952.2083333334</v>
      </c>
      <c r="Z42" s="11" t="n">
        <f aca="false">SUM(INDEX($C$41:$AL$41,MAX(1,Z$2-11)):Z41)</f>
        <v>-33522.5</v>
      </c>
      <c r="AA42" s="11" t="n">
        <f aca="false">SUM(INDEX($C$41:$AL$41,MAX(1,AA$2-11)):AA41)</f>
        <v>-26904.4791666667</v>
      </c>
      <c r="AB42" s="11" t="n">
        <f aca="false">SUM(INDEX($C$41:$AL$41,MAX(1,AB$2-11)):AB41)</f>
        <v>-18913.125</v>
      </c>
      <c r="AC42" s="11" t="n">
        <f aca="false">SUM(INDEX($C$41:$AL$41,MAX(1,AC$2-11)):AC41)</f>
        <v>-15346.2395833334</v>
      </c>
      <c r="AD42" s="11" t="n">
        <f aca="false">SUM(INDEX($C$41:$AL$41,MAX(1,AD$2-11)):AD41)</f>
        <v>-9962.47916666669</v>
      </c>
      <c r="AE42" s="11" t="n">
        <f aca="false">SUM(INDEX($C$41:$AL$41,MAX(1,AE$2-11)):AE41)</f>
        <v>-10514.4375</v>
      </c>
      <c r="AF42" s="11" t="n">
        <f aca="false">SUM(INDEX($C$41:$AL$41,MAX(1,AF$2-11)):AF41)</f>
        <v>12434.7604166666</v>
      </c>
      <c r="AG42" s="11" t="n">
        <f aca="false">SUM(INDEX($C$41:$AL$41,MAX(1,AG$2-11)):AG41)</f>
        <v>15708.3333333333</v>
      </c>
      <c r="AH42" s="11" t="n">
        <f aca="false">SUM(INDEX($C$41:$AL$41,MAX(1,AH$2-11)):AH41)</f>
        <v>3109.40624999998</v>
      </c>
      <c r="AI42" s="11" t="n">
        <f aca="false">SUM(INDEX($C$41:$AL$41,MAX(1,AI$2-11)):AI41)</f>
        <v>17189.7604166667</v>
      </c>
      <c r="AJ42" s="11" t="n">
        <f aca="false">SUM(INDEX($C$41:$AL$41,MAX(1,AJ$2-11)):AJ41)</f>
        <v>16121.3645833333</v>
      </c>
      <c r="AK42" s="11" t="n">
        <f aca="false">SUM(INDEX($C$41:$AL$41,MAX(1,AK$2-11)):AK41)</f>
        <v>25945.46875</v>
      </c>
      <c r="AL42" s="11" t="n">
        <f aca="false">SUM(INDEX($C$41:$AL$41,MAX(1,AL$2-11)):AL41)</f>
        <v>31568.2291666667</v>
      </c>
    </row>
    <row r="43" customFormat="false" ht="15" hidden="false" customHeight="false" outlineLevel="0" collapsed="false">
      <c r="A43" s="14" t="s">
        <v>225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customFormat="false" ht="15" hidden="false" customHeight="false" outlineLevel="0" collapsed="false">
      <c r="A44" s="2" t="s">
        <v>226</v>
      </c>
      <c r="B44" s="4"/>
      <c r="C44" s="11" t="n">
        <f aca="false">IF(C$2=Inputs!$D$52,Inputs!$D$53,0)</f>
        <v>35000</v>
      </c>
      <c r="D44" s="11" t="n">
        <f aca="false">IF(D$2=Inputs!$D$52,Inputs!$D$53,0)</f>
        <v>0</v>
      </c>
      <c r="E44" s="11" t="n">
        <f aca="false">IF(E$2=Inputs!$D$52,Inputs!$D$53,0)</f>
        <v>0</v>
      </c>
      <c r="F44" s="11" t="n">
        <f aca="false">IF(F$2=Inputs!$D$52,Inputs!$D$53,0)</f>
        <v>0</v>
      </c>
      <c r="G44" s="11" t="n">
        <f aca="false">IF(G$2=Inputs!$D$52,Inputs!$D$53,0)</f>
        <v>0</v>
      </c>
      <c r="H44" s="11" t="n">
        <f aca="false">IF(H$2=Inputs!$D$52,Inputs!$D$53,0)</f>
        <v>0</v>
      </c>
      <c r="I44" s="11" t="n">
        <f aca="false">IF(I$2=Inputs!$D$52,Inputs!$D$53,0)</f>
        <v>0</v>
      </c>
      <c r="J44" s="11" t="n">
        <f aca="false">IF(J$2=Inputs!$D$52,Inputs!$D$53,0)</f>
        <v>0</v>
      </c>
      <c r="K44" s="11" t="n">
        <f aca="false">IF(K$2=Inputs!$D$52,Inputs!$D$53,0)</f>
        <v>0</v>
      </c>
      <c r="L44" s="11" t="n">
        <f aca="false">IF(L$2=Inputs!$D$52,Inputs!$D$53,0)</f>
        <v>0</v>
      </c>
      <c r="M44" s="11" t="n">
        <f aca="false">IF(M$2=Inputs!$D$52,Inputs!$D$53,0)</f>
        <v>0</v>
      </c>
      <c r="N44" s="11" t="n">
        <f aca="false">IF(N$2=Inputs!$D$52,Inputs!$D$53,0)</f>
        <v>0</v>
      </c>
      <c r="O44" s="11" t="n">
        <f aca="false">IF(O$2=Inputs!$D$52,Inputs!$D$53,0)</f>
        <v>0</v>
      </c>
      <c r="P44" s="11" t="n">
        <f aca="false">IF(P$2=Inputs!$D$52,Inputs!$D$53,0)</f>
        <v>0</v>
      </c>
      <c r="Q44" s="11" t="n">
        <f aca="false">IF(Q$2=Inputs!$D$52,Inputs!$D$53,0)</f>
        <v>0</v>
      </c>
      <c r="R44" s="11" t="n">
        <f aca="false">IF(R$2=Inputs!$D$52,Inputs!$D$53,0)</f>
        <v>0</v>
      </c>
      <c r="S44" s="11" t="n">
        <f aca="false">IF(S$2=Inputs!$D$52,Inputs!$D$53,0)</f>
        <v>0</v>
      </c>
      <c r="T44" s="11" t="n">
        <f aca="false">IF(T$2=Inputs!$D$52,Inputs!$D$53,0)</f>
        <v>0</v>
      </c>
      <c r="U44" s="11" t="n">
        <f aca="false">IF(U$2=Inputs!$D$52,Inputs!$D$53,0)</f>
        <v>0</v>
      </c>
      <c r="V44" s="11" t="n">
        <f aca="false">IF(V$2=Inputs!$D$52,Inputs!$D$53,0)</f>
        <v>0</v>
      </c>
      <c r="W44" s="11" t="n">
        <f aca="false">IF(W$2=Inputs!$D$52,Inputs!$D$53,0)</f>
        <v>0</v>
      </c>
      <c r="X44" s="11" t="n">
        <f aca="false">IF(X$2=Inputs!$D$52,Inputs!$D$53,0)</f>
        <v>0</v>
      </c>
      <c r="Y44" s="11" t="n">
        <f aca="false">IF(Y$2=Inputs!$D$52,Inputs!$D$53,0)</f>
        <v>0</v>
      </c>
      <c r="Z44" s="11" t="n">
        <f aca="false">IF(Z$2=Inputs!$D$52,Inputs!$D$53,0)</f>
        <v>0</v>
      </c>
      <c r="AA44" s="11" t="n">
        <f aca="false">IF(AA$2=Inputs!$D$52,Inputs!$D$53,0)</f>
        <v>0</v>
      </c>
      <c r="AB44" s="11" t="n">
        <f aca="false">IF(AB$2=Inputs!$D$52,Inputs!$D$53,0)</f>
        <v>0</v>
      </c>
      <c r="AC44" s="11" t="n">
        <f aca="false">IF(AC$2=Inputs!$D$52,Inputs!$D$53,0)</f>
        <v>0</v>
      </c>
      <c r="AD44" s="11" t="n">
        <f aca="false">IF(AD$2=Inputs!$D$52,Inputs!$D$53,0)</f>
        <v>0</v>
      </c>
      <c r="AE44" s="11" t="n">
        <f aca="false">IF(AE$2=Inputs!$D$52,Inputs!$D$53,0)</f>
        <v>0</v>
      </c>
      <c r="AF44" s="11" t="n">
        <f aca="false">IF(AF$2=Inputs!$D$52,Inputs!$D$53,0)</f>
        <v>0</v>
      </c>
      <c r="AG44" s="11" t="n">
        <f aca="false">IF(AG$2=Inputs!$D$52,Inputs!$D$53,0)</f>
        <v>0</v>
      </c>
      <c r="AH44" s="11" t="n">
        <f aca="false">IF(AH$2=Inputs!$D$52,Inputs!$D$53,0)</f>
        <v>0</v>
      </c>
      <c r="AI44" s="11" t="n">
        <f aca="false">IF(AI$2=Inputs!$D$52,Inputs!$D$53,0)</f>
        <v>0</v>
      </c>
      <c r="AJ44" s="11" t="n">
        <f aca="false">IF(AJ$2=Inputs!$D$52,Inputs!$D$53,0)</f>
        <v>0</v>
      </c>
      <c r="AK44" s="11" t="n">
        <f aca="false">IF(AK$2=Inputs!$D$52,Inputs!$D$53,0)</f>
        <v>0</v>
      </c>
      <c r="AL44" s="11" t="n">
        <f aca="false">IF(AL$2=Inputs!$D$52,Inputs!$D$53,0)</f>
        <v>0</v>
      </c>
    </row>
    <row r="45" customFormat="false" ht="15" hidden="false" customHeight="false" outlineLevel="0" collapsed="false">
      <c r="A45" s="2" t="s">
        <v>227</v>
      </c>
      <c r="B45" s="4"/>
      <c r="C45" s="11" t="n">
        <f aca="false">IF(C$2=1,Inputs!$D$54,0)</f>
        <v>0</v>
      </c>
      <c r="D45" s="11" t="n">
        <f aca="false">IF(D$2=1,Inputs!$D$54,0)</f>
        <v>0</v>
      </c>
      <c r="E45" s="11" t="n">
        <f aca="false">IF(E$2=1,Inputs!$D$54,0)</f>
        <v>0</v>
      </c>
      <c r="F45" s="11" t="n">
        <f aca="false">IF(F$2=1,Inputs!$D$54,0)</f>
        <v>0</v>
      </c>
      <c r="G45" s="11" t="n">
        <f aca="false">IF(G$2=1,Inputs!$D$54,0)</f>
        <v>0</v>
      </c>
      <c r="H45" s="11" t="n">
        <f aca="false">IF(H$2=1,Inputs!$D$54,0)</f>
        <v>0</v>
      </c>
      <c r="I45" s="11" t="n">
        <f aca="false">IF(I$2=1,Inputs!$D$54,0)</f>
        <v>0</v>
      </c>
      <c r="J45" s="11" t="n">
        <f aca="false">IF(J$2=1,Inputs!$D$54,0)</f>
        <v>0</v>
      </c>
      <c r="K45" s="11" t="n">
        <f aca="false">IF(K$2=1,Inputs!$D$54,0)</f>
        <v>0</v>
      </c>
      <c r="L45" s="11" t="n">
        <f aca="false">IF(L$2=1,Inputs!$D$54,0)</f>
        <v>0</v>
      </c>
      <c r="M45" s="11" t="n">
        <f aca="false">IF(M$2=1,Inputs!$D$54,0)</f>
        <v>0</v>
      </c>
      <c r="N45" s="11" t="n">
        <f aca="false">IF(N$2=1,Inputs!$D$54,0)</f>
        <v>0</v>
      </c>
      <c r="O45" s="11" t="n">
        <f aca="false">IF(O$2=1,Inputs!$D$54,0)</f>
        <v>0</v>
      </c>
      <c r="P45" s="11" t="n">
        <f aca="false">IF(P$2=1,Inputs!$D$54,0)</f>
        <v>0</v>
      </c>
      <c r="Q45" s="11" t="n">
        <f aca="false">IF(Q$2=1,Inputs!$D$54,0)</f>
        <v>0</v>
      </c>
      <c r="R45" s="11" t="n">
        <f aca="false">IF(R$2=1,Inputs!$D$54,0)</f>
        <v>0</v>
      </c>
      <c r="S45" s="11" t="n">
        <f aca="false">IF(S$2=1,Inputs!$D$54,0)</f>
        <v>0</v>
      </c>
      <c r="T45" s="11" t="n">
        <f aca="false">IF(T$2=1,Inputs!$D$54,0)</f>
        <v>0</v>
      </c>
      <c r="U45" s="11" t="n">
        <f aca="false">IF(U$2=1,Inputs!$D$54,0)</f>
        <v>0</v>
      </c>
      <c r="V45" s="11" t="n">
        <f aca="false">IF(V$2=1,Inputs!$D$54,0)</f>
        <v>0</v>
      </c>
      <c r="W45" s="11" t="n">
        <f aca="false">IF(W$2=1,Inputs!$D$54,0)</f>
        <v>0</v>
      </c>
      <c r="X45" s="11" t="n">
        <f aca="false">IF(X$2=1,Inputs!$D$54,0)</f>
        <v>0</v>
      </c>
      <c r="Y45" s="11" t="n">
        <f aca="false">IF(Y$2=1,Inputs!$D$54,0)</f>
        <v>0</v>
      </c>
      <c r="Z45" s="11" t="n">
        <f aca="false">IF(Z$2=1,Inputs!$D$54,0)</f>
        <v>0</v>
      </c>
      <c r="AA45" s="11" t="n">
        <f aca="false">IF(AA$2=1,Inputs!$D$54,0)</f>
        <v>0</v>
      </c>
      <c r="AB45" s="11" t="n">
        <f aca="false">IF(AB$2=1,Inputs!$D$54,0)</f>
        <v>0</v>
      </c>
      <c r="AC45" s="11" t="n">
        <f aca="false">IF(AC$2=1,Inputs!$D$54,0)</f>
        <v>0</v>
      </c>
      <c r="AD45" s="11" t="n">
        <f aca="false">IF(AD$2=1,Inputs!$D$54,0)</f>
        <v>0</v>
      </c>
      <c r="AE45" s="11" t="n">
        <f aca="false">IF(AE$2=1,Inputs!$D$54,0)</f>
        <v>0</v>
      </c>
      <c r="AF45" s="11" t="n">
        <f aca="false">IF(AF$2=1,Inputs!$D$54,0)</f>
        <v>0</v>
      </c>
      <c r="AG45" s="11" t="n">
        <f aca="false">IF(AG$2=1,Inputs!$D$54,0)</f>
        <v>0</v>
      </c>
      <c r="AH45" s="11" t="n">
        <f aca="false">IF(AH$2=1,Inputs!$D$54,0)</f>
        <v>0</v>
      </c>
      <c r="AI45" s="11" t="n">
        <f aca="false">IF(AI$2=1,Inputs!$D$54,0)</f>
        <v>0</v>
      </c>
      <c r="AJ45" s="11" t="n">
        <f aca="false">IF(AJ$2=1,Inputs!$D$54,0)</f>
        <v>0</v>
      </c>
      <c r="AK45" s="11" t="n">
        <f aca="false">IF(AK$2=1,Inputs!$D$54,0)</f>
        <v>0</v>
      </c>
      <c r="AL45" s="11" t="n">
        <f aca="false">IF(AL$2=1,Inputs!$D$54,0)</f>
        <v>0</v>
      </c>
    </row>
    <row r="46" customFormat="false" ht="15" hidden="false" customHeight="false" outlineLevel="0" collapsed="false">
      <c r="A46" s="2" t="s">
        <v>228</v>
      </c>
      <c r="B46" s="4"/>
      <c r="C46" s="11" t="n">
        <f aca="false">IF(C$2=Inputs!$D$55,Inputs!$D$56,0)</f>
        <v>0</v>
      </c>
      <c r="D46" s="11" t="n">
        <f aca="false">IF(D$2=Inputs!$D$55,Inputs!$D$56,0)</f>
        <v>0</v>
      </c>
      <c r="E46" s="11" t="n">
        <f aca="false">IF(E$2=Inputs!$D$55,Inputs!$D$56,0)</f>
        <v>0</v>
      </c>
      <c r="F46" s="11" t="n">
        <f aca="false">IF(F$2=Inputs!$D$55,Inputs!$D$56,0)</f>
        <v>0</v>
      </c>
      <c r="G46" s="11" t="n">
        <f aca="false">IF(G$2=Inputs!$D$55,Inputs!$D$56,0)</f>
        <v>200000</v>
      </c>
      <c r="H46" s="11" t="n">
        <f aca="false">IF(H$2=Inputs!$D$55,Inputs!$D$56,0)</f>
        <v>0</v>
      </c>
      <c r="I46" s="11" t="n">
        <f aca="false">IF(I$2=Inputs!$D$55,Inputs!$D$56,0)</f>
        <v>0</v>
      </c>
      <c r="J46" s="11" t="n">
        <f aca="false">IF(J$2=Inputs!$D$55,Inputs!$D$56,0)</f>
        <v>0</v>
      </c>
      <c r="K46" s="11" t="n">
        <f aca="false">IF(K$2=Inputs!$D$55,Inputs!$D$56,0)</f>
        <v>0</v>
      </c>
      <c r="L46" s="11" t="n">
        <f aca="false">IF(L$2=Inputs!$D$55,Inputs!$D$56,0)</f>
        <v>0</v>
      </c>
      <c r="M46" s="11" t="n">
        <f aca="false">IF(M$2=Inputs!$D$55,Inputs!$D$56,0)</f>
        <v>0</v>
      </c>
      <c r="N46" s="11" t="n">
        <f aca="false">IF(N$2=Inputs!$D$55,Inputs!$D$56,0)</f>
        <v>0</v>
      </c>
      <c r="O46" s="11" t="n">
        <f aca="false">IF(O$2=Inputs!$D$55,Inputs!$D$56,0)</f>
        <v>0</v>
      </c>
      <c r="P46" s="11" t="n">
        <f aca="false">IF(P$2=Inputs!$D$55,Inputs!$D$56,0)</f>
        <v>0</v>
      </c>
      <c r="Q46" s="11" t="n">
        <f aca="false">IF(Q$2=Inputs!$D$55,Inputs!$D$56,0)</f>
        <v>0</v>
      </c>
      <c r="R46" s="11" t="n">
        <f aca="false">IF(R$2=Inputs!$D$55,Inputs!$D$56,0)</f>
        <v>0</v>
      </c>
      <c r="S46" s="11" t="n">
        <f aca="false">IF(S$2=Inputs!$D$55,Inputs!$D$56,0)</f>
        <v>0</v>
      </c>
      <c r="T46" s="11" t="n">
        <f aca="false">IF(T$2=Inputs!$D$55,Inputs!$D$56,0)</f>
        <v>0</v>
      </c>
      <c r="U46" s="11" t="n">
        <f aca="false">IF(U$2=Inputs!$D$55,Inputs!$D$56,0)</f>
        <v>0</v>
      </c>
      <c r="V46" s="11" t="n">
        <f aca="false">IF(V$2=Inputs!$D$55,Inputs!$D$56,0)</f>
        <v>0</v>
      </c>
      <c r="W46" s="11" t="n">
        <f aca="false">IF(W$2=Inputs!$D$55,Inputs!$D$56,0)</f>
        <v>0</v>
      </c>
      <c r="X46" s="11" t="n">
        <f aca="false">IF(X$2=Inputs!$D$55,Inputs!$D$56,0)</f>
        <v>0</v>
      </c>
      <c r="Y46" s="11" t="n">
        <f aca="false">IF(Y$2=Inputs!$D$55,Inputs!$D$56,0)</f>
        <v>0</v>
      </c>
      <c r="Z46" s="11" t="n">
        <f aca="false">IF(Z$2=Inputs!$D$55,Inputs!$D$56,0)</f>
        <v>0</v>
      </c>
      <c r="AA46" s="11" t="n">
        <f aca="false">IF(AA$2=Inputs!$D$55,Inputs!$D$56,0)</f>
        <v>0</v>
      </c>
      <c r="AB46" s="11" t="n">
        <f aca="false">IF(AB$2=Inputs!$D$55,Inputs!$D$56,0)</f>
        <v>0</v>
      </c>
      <c r="AC46" s="11" t="n">
        <f aca="false">IF(AC$2=Inputs!$D$55,Inputs!$D$56,0)</f>
        <v>0</v>
      </c>
      <c r="AD46" s="11" t="n">
        <f aca="false">IF(AD$2=Inputs!$D$55,Inputs!$D$56,0)</f>
        <v>0</v>
      </c>
      <c r="AE46" s="11" t="n">
        <f aca="false">IF(AE$2=Inputs!$D$55,Inputs!$D$56,0)</f>
        <v>0</v>
      </c>
      <c r="AF46" s="11" t="n">
        <f aca="false">IF(AF$2=Inputs!$D$55,Inputs!$D$56,0)</f>
        <v>0</v>
      </c>
      <c r="AG46" s="11" t="n">
        <f aca="false">IF(AG$2=Inputs!$D$55,Inputs!$D$56,0)</f>
        <v>0</v>
      </c>
      <c r="AH46" s="11" t="n">
        <f aca="false">IF(AH$2=Inputs!$D$55,Inputs!$D$56,0)</f>
        <v>0</v>
      </c>
      <c r="AI46" s="11" t="n">
        <f aca="false">IF(AI$2=Inputs!$D$55,Inputs!$D$56,0)</f>
        <v>0</v>
      </c>
      <c r="AJ46" s="11" t="n">
        <f aca="false">IF(AJ$2=Inputs!$D$55,Inputs!$D$56,0)</f>
        <v>0</v>
      </c>
      <c r="AK46" s="11" t="n">
        <f aca="false">IF(AK$2=Inputs!$D$55,Inputs!$D$56,0)</f>
        <v>0</v>
      </c>
      <c r="AL46" s="11" t="n">
        <f aca="false">IF(AL$2=Inputs!$D$55,Inputs!$D$56,0)</f>
        <v>0</v>
      </c>
    </row>
    <row r="47" customFormat="false" ht="15" hidden="false" customHeight="false" outlineLevel="0" collapsed="false">
      <c r="A47" s="2" t="s">
        <v>229</v>
      </c>
      <c r="B47" s="4"/>
      <c r="C47" s="11" t="n">
        <f aca="false">IF(C$2=Inputs!$D$59,Inputs!$D$60,0)</f>
        <v>0</v>
      </c>
      <c r="D47" s="11" t="n">
        <f aca="false">IF(D$2=Inputs!$D$59,Inputs!$D$60,0)</f>
        <v>0</v>
      </c>
      <c r="E47" s="11" t="n">
        <f aca="false">IF(E$2=Inputs!$D$59,Inputs!$D$60,0)</f>
        <v>0</v>
      </c>
      <c r="F47" s="11" t="n">
        <f aca="false">IF(F$2=Inputs!$D$59,Inputs!$D$60,0)</f>
        <v>0</v>
      </c>
      <c r="G47" s="11" t="n">
        <f aca="false">IF(G$2=Inputs!$D$59,Inputs!$D$60,0)</f>
        <v>200000</v>
      </c>
      <c r="H47" s="11" t="n">
        <f aca="false">IF(H$2=Inputs!$D$59,Inputs!$D$60,0)</f>
        <v>0</v>
      </c>
      <c r="I47" s="11" t="n">
        <f aca="false">IF(I$2=Inputs!$D$59,Inputs!$D$60,0)</f>
        <v>0</v>
      </c>
      <c r="J47" s="11" t="n">
        <f aca="false">IF(J$2=Inputs!$D$59,Inputs!$D$60,0)</f>
        <v>0</v>
      </c>
      <c r="K47" s="11" t="n">
        <f aca="false">IF(K$2=Inputs!$D$59,Inputs!$D$60,0)</f>
        <v>0</v>
      </c>
      <c r="L47" s="11" t="n">
        <f aca="false">IF(L$2=Inputs!$D$59,Inputs!$D$60,0)</f>
        <v>0</v>
      </c>
      <c r="M47" s="11" t="n">
        <f aca="false">IF(M$2=Inputs!$D$59,Inputs!$D$60,0)</f>
        <v>0</v>
      </c>
      <c r="N47" s="11" t="n">
        <f aca="false">IF(N$2=Inputs!$D$59,Inputs!$D$60,0)</f>
        <v>0</v>
      </c>
      <c r="O47" s="11" t="n">
        <f aca="false">IF(O$2=Inputs!$D$59,Inputs!$D$60,0)</f>
        <v>0</v>
      </c>
      <c r="P47" s="11" t="n">
        <f aca="false">IF(P$2=Inputs!$D$59,Inputs!$D$60,0)</f>
        <v>0</v>
      </c>
      <c r="Q47" s="11" t="n">
        <f aca="false">IF(Q$2=Inputs!$D$59,Inputs!$D$60,0)</f>
        <v>0</v>
      </c>
      <c r="R47" s="11" t="n">
        <f aca="false">IF(R$2=Inputs!$D$59,Inputs!$D$60,0)</f>
        <v>0</v>
      </c>
      <c r="S47" s="11" t="n">
        <f aca="false">IF(S$2=Inputs!$D$59,Inputs!$D$60,0)</f>
        <v>0</v>
      </c>
      <c r="T47" s="11" t="n">
        <f aca="false">IF(T$2=Inputs!$D$59,Inputs!$D$60,0)</f>
        <v>0</v>
      </c>
      <c r="U47" s="11" t="n">
        <f aca="false">IF(U$2=Inputs!$D$59,Inputs!$D$60,0)</f>
        <v>0</v>
      </c>
      <c r="V47" s="11" t="n">
        <f aca="false">IF(V$2=Inputs!$D$59,Inputs!$D$60,0)</f>
        <v>0</v>
      </c>
      <c r="W47" s="11" t="n">
        <f aca="false">IF(W$2=Inputs!$D$59,Inputs!$D$60,0)</f>
        <v>0</v>
      </c>
      <c r="X47" s="11" t="n">
        <f aca="false">IF(X$2=Inputs!$D$59,Inputs!$D$60,0)</f>
        <v>0</v>
      </c>
      <c r="Y47" s="11" t="n">
        <f aca="false">IF(Y$2=Inputs!$D$59,Inputs!$D$60,0)</f>
        <v>0</v>
      </c>
      <c r="Z47" s="11" t="n">
        <f aca="false">IF(Z$2=Inputs!$D$59,Inputs!$D$60,0)</f>
        <v>0</v>
      </c>
      <c r="AA47" s="11" t="n">
        <f aca="false">IF(AA$2=Inputs!$D$59,Inputs!$D$60,0)</f>
        <v>0</v>
      </c>
      <c r="AB47" s="11" t="n">
        <f aca="false">IF(AB$2=Inputs!$D$59,Inputs!$D$60,0)</f>
        <v>0</v>
      </c>
      <c r="AC47" s="11" t="n">
        <f aca="false">IF(AC$2=Inputs!$D$59,Inputs!$D$60,0)</f>
        <v>0</v>
      </c>
      <c r="AD47" s="11" t="n">
        <f aca="false">IF(AD$2=Inputs!$D$59,Inputs!$D$60,0)</f>
        <v>0</v>
      </c>
      <c r="AE47" s="11" t="n">
        <f aca="false">IF(AE$2=Inputs!$D$59,Inputs!$D$60,0)</f>
        <v>0</v>
      </c>
      <c r="AF47" s="11" t="n">
        <f aca="false">IF(AF$2=Inputs!$D$59,Inputs!$D$60,0)</f>
        <v>0</v>
      </c>
      <c r="AG47" s="11" t="n">
        <f aca="false">IF(AG$2=Inputs!$D$59,Inputs!$D$60,0)</f>
        <v>0</v>
      </c>
      <c r="AH47" s="11" t="n">
        <f aca="false">IF(AH$2=Inputs!$D$59,Inputs!$D$60,0)</f>
        <v>0</v>
      </c>
      <c r="AI47" s="11" t="n">
        <f aca="false">IF(AI$2=Inputs!$D$59,Inputs!$D$60,0)</f>
        <v>0</v>
      </c>
      <c r="AJ47" s="11" t="n">
        <f aca="false">IF(AJ$2=Inputs!$D$59,Inputs!$D$60,0)</f>
        <v>0</v>
      </c>
      <c r="AK47" s="11" t="n">
        <f aca="false">IF(AK$2=Inputs!$D$59,Inputs!$D$60,0)</f>
        <v>0</v>
      </c>
      <c r="AL47" s="11" t="n">
        <f aca="false">IF(AL$2=Inputs!$D$59,Inputs!$D$60,0)</f>
        <v>0</v>
      </c>
    </row>
    <row r="48" customFormat="false" ht="15" hidden="false" customHeight="false" outlineLevel="0" collapsed="false">
      <c r="A48" s="2" t="s">
        <v>230</v>
      </c>
      <c r="B48" s="4"/>
      <c r="C48" s="11" t="n">
        <f aca="false">0</f>
        <v>0</v>
      </c>
      <c r="D48" s="11" t="n">
        <f aca="false">C51</f>
        <v>0</v>
      </c>
      <c r="E48" s="11" t="n">
        <f aca="false">D51</f>
        <v>0</v>
      </c>
      <c r="F48" s="11" t="n">
        <f aca="false">E51</f>
        <v>0</v>
      </c>
      <c r="G48" s="11" t="n">
        <f aca="false">F51</f>
        <v>0</v>
      </c>
      <c r="H48" s="11" t="n">
        <f aca="false">G51</f>
        <v>200000</v>
      </c>
      <c r="I48" s="11" t="n">
        <f aca="false">H51</f>
        <v>199051.300064489</v>
      </c>
      <c r="J48" s="11" t="n">
        <f aca="false">I51</f>
        <v>198094.299004542</v>
      </c>
      <c r="K48" s="11" t="n">
        <f aca="false">J51</f>
        <v>197128.924185321</v>
      </c>
      <c r="L48" s="11" t="n">
        <f aca="false">K51</f>
        <v>196155.102336432</v>
      </c>
      <c r="M48" s="11" t="n">
        <f aca="false">L51</f>
        <v>195172.759546365</v>
      </c>
      <c r="N48" s="11" t="n">
        <f aca="false">M51</f>
        <v>194181.821256885</v>
      </c>
      <c r="O48" s="11" t="n">
        <f aca="false">N51</f>
        <v>193182.212257371</v>
      </c>
      <c r="P48" s="11" t="n">
        <f aca="false">O51</f>
        <v>192173.856679112</v>
      </c>
      <c r="Q48" s="11" t="n">
        <f aca="false">P51</f>
        <v>191156.677989544</v>
      </c>
      <c r="R48" s="11" t="n">
        <f aca="false">Q51</f>
        <v>190130.598986441</v>
      </c>
      <c r="S48" s="11" t="n">
        <f aca="false">R51</f>
        <v>189095.541792062</v>
      </c>
      <c r="T48" s="11" t="n">
        <f aca="false">S51</f>
        <v>188051.427847231</v>
      </c>
      <c r="U48" s="11" t="n">
        <f aca="false">T51</f>
        <v>186998.177905384</v>
      </c>
      <c r="V48" s="11" t="n">
        <f aca="false">U51</f>
        <v>185935.712026545</v>
      </c>
      <c r="W48" s="11" t="n">
        <f aca="false">V51</f>
        <v>184863.949571266</v>
      </c>
      <c r="X48" s="11" t="n">
        <f aca="false">W51</f>
        <v>183782.809194504</v>
      </c>
      <c r="Y48" s="11" t="n">
        <f aca="false">X51</f>
        <v>182692.208839445</v>
      </c>
      <c r="Z48" s="11" t="n">
        <f aca="false">Y51</f>
        <v>181592.065731279</v>
      </c>
      <c r="AA48" s="11" t="n">
        <f aca="false">Z51</f>
        <v>180482.296370917</v>
      </c>
      <c r="AB48" s="11" t="n">
        <f aca="false">AA51</f>
        <v>179362.816528651</v>
      </c>
      <c r="AC48" s="11" t="n">
        <f aca="false">AB51</f>
        <v>178233.541237766</v>
      </c>
      <c r="AD48" s="11" t="n">
        <f aca="false">AC51</f>
        <v>177094.384788086</v>
      </c>
      <c r="AE48" s="11" t="n">
        <f aca="false">AD51</f>
        <v>175945.260719471</v>
      </c>
      <c r="AF48" s="11" t="n">
        <f aca="false">AE51</f>
        <v>174786.081815255</v>
      </c>
      <c r="AG48" s="11" t="n">
        <f aca="false">AF51</f>
        <v>173616.760095627</v>
      </c>
      <c r="AH48" s="11" t="n">
        <f aca="false">AG51</f>
        <v>172437.206810953</v>
      </c>
      <c r="AI48" s="11" t="n">
        <f aca="false">AH51</f>
        <v>171247.332435038</v>
      </c>
      <c r="AJ48" s="11" t="n">
        <f aca="false">AI51</f>
        <v>170047.046658334</v>
      </c>
      <c r="AK48" s="11" t="n">
        <f aca="false">AJ51</f>
        <v>168836.258381083</v>
      </c>
      <c r="AL48" s="11" t="n">
        <f aca="false">AK51</f>
        <v>167614.875706407</v>
      </c>
    </row>
    <row r="49" customFormat="false" ht="15" hidden="false" customHeight="false" outlineLevel="0" collapsed="false">
      <c r="A49" s="2" t="s">
        <v>231</v>
      </c>
      <c r="B49" s="4"/>
      <c r="C49" s="11" t="n">
        <f aca="false">C48*Inputs!$D$57/12</f>
        <v>0</v>
      </c>
      <c r="D49" s="11" t="n">
        <f aca="false">D48*Inputs!$D$57/12</f>
        <v>0</v>
      </c>
      <c r="E49" s="11" t="n">
        <f aca="false">E48*Inputs!$D$57/12</f>
        <v>0</v>
      </c>
      <c r="F49" s="11" t="n">
        <f aca="false">F48*Inputs!$D$57/12</f>
        <v>0</v>
      </c>
      <c r="G49" s="11" t="n">
        <f aca="false">G48*Inputs!$D$57/12</f>
        <v>0</v>
      </c>
      <c r="H49" s="11" t="n">
        <f aca="false">H48*Inputs!$D$57/12</f>
        <v>1750</v>
      </c>
      <c r="I49" s="11" t="n">
        <f aca="false">I48*Inputs!$D$57/12</f>
        <v>1741.69887556428</v>
      </c>
      <c r="J49" s="11" t="n">
        <f aca="false">J48*Inputs!$D$57/12</f>
        <v>1733.32511628975</v>
      </c>
      <c r="K49" s="11" t="n">
        <f aca="false">K48*Inputs!$D$57/12</f>
        <v>1724.87808662156</v>
      </c>
      <c r="L49" s="11" t="n">
        <f aca="false">L48*Inputs!$D$57/12</f>
        <v>1716.35714544378</v>
      </c>
      <c r="M49" s="11" t="n">
        <f aca="false">M48*Inputs!$D$57/12</f>
        <v>1707.76164603069</v>
      </c>
      <c r="N49" s="11" t="n">
        <f aca="false">N48*Inputs!$D$57/12</f>
        <v>1699.09093599774</v>
      </c>
      <c r="O49" s="11" t="n">
        <f aca="false">O48*Inputs!$D$57/12</f>
        <v>1690.344357252</v>
      </c>
      <c r="P49" s="11" t="n">
        <f aca="false">P48*Inputs!$D$57/12</f>
        <v>1681.52124594223</v>
      </c>
      <c r="Q49" s="11" t="n">
        <f aca="false">Q48*Inputs!$D$57/12</f>
        <v>1672.62093240851</v>
      </c>
      <c r="R49" s="11" t="n">
        <f aca="false">R48*Inputs!$D$57/12</f>
        <v>1663.64274113136</v>
      </c>
      <c r="S49" s="11" t="n">
        <f aca="false">S48*Inputs!$D$57/12</f>
        <v>1654.58599068054</v>
      </c>
      <c r="T49" s="11" t="n">
        <f aca="false">T48*Inputs!$D$57/12</f>
        <v>1645.44999366327</v>
      </c>
      <c r="U49" s="11" t="n">
        <f aca="false">U48*Inputs!$D$57/12</f>
        <v>1636.23405667211</v>
      </c>
      <c r="V49" s="11" t="n">
        <f aca="false">V48*Inputs!$D$57/12</f>
        <v>1626.93748023227</v>
      </c>
      <c r="W49" s="11" t="n">
        <f aca="false">W48*Inputs!$D$57/12</f>
        <v>1617.55955874858</v>
      </c>
      <c r="X49" s="11" t="n">
        <f aca="false">X48*Inputs!$D$57/12</f>
        <v>1608.09958045191</v>
      </c>
      <c r="Y49" s="11" t="n">
        <f aca="false">Y48*Inputs!$D$57/12</f>
        <v>1598.55682734514</v>
      </c>
      <c r="Z49" s="11" t="n">
        <f aca="false">Z48*Inputs!$D$57/12</f>
        <v>1588.93057514869</v>
      </c>
      <c r="AA49" s="11" t="n">
        <f aca="false">AA48*Inputs!$D$57/12</f>
        <v>1579.22009324552</v>
      </c>
      <c r="AB49" s="11" t="n">
        <f aca="false">AB48*Inputs!$D$57/12</f>
        <v>1569.4246446257</v>
      </c>
      <c r="AC49" s="11" t="n">
        <f aca="false">AC48*Inputs!$D$57/12</f>
        <v>1559.54348583045</v>
      </c>
      <c r="AD49" s="11" t="n">
        <f aca="false">AD48*Inputs!$D$57/12</f>
        <v>1549.57586689575</v>
      </c>
      <c r="AE49" s="11" t="n">
        <f aca="false">AE48*Inputs!$D$57/12</f>
        <v>1539.52103129537</v>
      </c>
      <c r="AF49" s="11" t="n">
        <f aca="false">AF48*Inputs!$D$57/12</f>
        <v>1529.37821588348</v>
      </c>
      <c r="AG49" s="11" t="n">
        <f aca="false">AG48*Inputs!$D$57/12</f>
        <v>1519.14665083674</v>
      </c>
      <c r="AH49" s="11" t="n">
        <f aca="false">AH48*Inputs!$D$57/12</f>
        <v>1508.82555959584</v>
      </c>
      <c r="AI49" s="11" t="n">
        <f aca="false">AI48*Inputs!$D$57/12</f>
        <v>1498.41415880658</v>
      </c>
      <c r="AJ49" s="11" t="n">
        <f aca="false">AJ48*Inputs!$D$57/12</f>
        <v>1487.91165826042</v>
      </c>
      <c r="AK49" s="11" t="n">
        <f aca="false">AK48*Inputs!$D$57/12</f>
        <v>1477.31726083448</v>
      </c>
      <c r="AL49" s="11" t="n">
        <f aca="false">AL48*Inputs!$D$57/12</f>
        <v>1466.63016243106</v>
      </c>
    </row>
    <row r="50" customFormat="false" ht="15" hidden="false" customHeight="false" outlineLevel="0" collapsed="false">
      <c r="A50" s="2" t="s">
        <v>232</v>
      </c>
      <c r="B50" s="4"/>
      <c r="C50" s="11" t="n">
        <f aca="false">IF(C$2&gt;Inputs!$D$55,MIN(Inputs!$D$62,C48+C49),0)</f>
        <v>0</v>
      </c>
      <c r="D50" s="11" t="n">
        <f aca="false">IF(D$2&gt;Inputs!$D$55,MIN(Inputs!$D$62,D48+D49),0)</f>
        <v>0</v>
      </c>
      <c r="E50" s="11" t="n">
        <f aca="false">IF(E$2&gt;Inputs!$D$55,MIN(Inputs!$D$62,E48+E49),0)</f>
        <v>0</v>
      </c>
      <c r="F50" s="11" t="n">
        <f aca="false">IF(F$2&gt;Inputs!$D$55,MIN(Inputs!$D$62,F48+F49),0)</f>
        <v>0</v>
      </c>
      <c r="G50" s="11" t="n">
        <f aca="false">IF(G$2&gt;Inputs!$D$55,MIN(Inputs!$D$62,G48+G49),0)</f>
        <v>0</v>
      </c>
      <c r="H50" s="11" t="n">
        <f aca="false">IF(H$2&gt;Inputs!$D$55,MIN(Inputs!$D$62,H48+H49),0)</f>
        <v>2698.69993551094</v>
      </c>
      <c r="I50" s="11" t="n">
        <f aca="false">IF(I$2&gt;Inputs!$D$55,MIN(Inputs!$D$62,I48+I49),0)</f>
        <v>2698.69993551094</v>
      </c>
      <c r="J50" s="11" t="n">
        <f aca="false">IF(J$2&gt;Inputs!$D$55,MIN(Inputs!$D$62,J48+J49),0)</f>
        <v>2698.69993551094</v>
      </c>
      <c r="K50" s="11" t="n">
        <f aca="false">IF(K$2&gt;Inputs!$D$55,MIN(Inputs!$D$62,K48+K49),0)</f>
        <v>2698.69993551094</v>
      </c>
      <c r="L50" s="11" t="n">
        <f aca="false">IF(L$2&gt;Inputs!$D$55,MIN(Inputs!$D$62,L48+L49),0)</f>
        <v>2698.69993551094</v>
      </c>
      <c r="M50" s="11" t="n">
        <f aca="false">IF(M$2&gt;Inputs!$D$55,MIN(Inputs!$D$62,M48+M49),0)</f>
        <v>2698.69993551094</v>
      </c>
      <c r="N50" s="11" t="n">
        <f aca="false">IF(N$2&gt;Inputs!$D$55,MIN(Inputs!$D$62,N48+N49),0)</f>
        <v>2698.69993551094</v>
      </c>
      <c r="O50" s="11" t="n">
        <f aca="false">IF(O$2&gt;Inputs!$D$55,MIN(Inputs!$D$62,O48+O49),0)</f>
        <v>2698.69993551094</v>
      </c>
      <c r="P50" s="11" t="n">
        <f aca="false">IF(P$2&gt;Inputs!$D$55,MIN(Inputs!$D$62,P48+P49),0)</f>
        <v>2698.69993551094</v>
      </c>
      <c r="Q50" s="11" t="n">
        <f aca="false">IF(Q$2&gt;Inputs!$D$55,MIN(Inputs!$D$62,Q48+Q49),0)</f>
        <v>2698.69993551094</v>
      </c>
      <c r="R50" s="11" t="n">
        <f aca="false">IF(R$2&gt;Inputs!$D$55,MIN(Inputs!$D$62,R48+R49),0)</f>
        <v>2698.69993551094</v>
      </c>
      <c r="S50" s="11" t="n">
        <f aca="false">IF(S$2&gt;Inputs!$D$55,MIN(Inputs!$D$62,S48+S49),0)</f>
        <v>2698.69993551094</v>
      </c>
      <c r="T50" s="11" t="n">
        <f aca="false">IF(T$2&gt;Inputs!$D$55,MIN(Inputs!$D$62,T48+T49),0)</f>
        <v>2698.69993551094</v>
      </c>
      <c r="U50" s="11" t="n">
        <f aca="false">IF(U$2&gt;Inputs!$D$55,MIN(Inputs!$D$62,U48+U49),0)</f>
        <v>2698.69993551094</v>
      </c>
      <c r="V50" s="11" t="n">
        <f aca="false">IF(V$2&gt;Inputs!$D$55,MIN(Inputs!$D$62,V48+V49),0)</f>
        <v>2698.69993551094</v>
      </c>
      <c r="W50" s="11" t="n">
        <f aca="false">IF(W$2&gt;Inputs!$D$55,MIN(Inputs!$D$62,W48+W49),0)</f>
        <v>2698.69993551094</v>
      </c>
      <c r="X50" s="11" t="n">
        <f aca="false">IF(X$2&gt;Inputs!$D$55,MIN(Inputs!$D$62,X48+X49),0)</f>
        <v>2698.69993551094</v>
      </c>
      <c r="Y50" s="11" t="n">
        <f aca="false">IF(Y$2&gt;Inputs!$D$55,MIN(Inputs!$D$62,Y48+Y49),0)</f>
        <v>2698.69993551094</v>
      </c>
      <c r="Z50" s="11" t="n">
        <f aca="false">IF(Z$2&gt;Inputs!$D$55,MIN(Inputs!$D$62,Z48+Z49),0)</f>
        <v>2698.69993551094</v>
      </c>
      <c r="AA50" s="11" t="n">
        <f aca="false">IF(AA$2&gt;Inputs!$D$55,MIN(Inputs!$D$62,AA48+AA49),0)</f>
        <v>2698.69993551094</v>
      </c>
      <c r="AB50" s="11" t="n">
        <f aca="false">IF(AB$2&gt;Inputs!$D$55,MIN(Inputs!$D$62,AB48+AB49),0)</f>
        <v>2698.69993551094</v>
      </c>
      <c r="AC50" s="11" t="n">
        <f aca="false">IF(AC$2&gt;Inputs!$D$55,MIN(Inputs!$D$62,AC48+AC49),0)</f>
        <v>2698.69993551094</v>
      </c>
      <c r="AD50" s="11" t="n">
        <f aca="false">IF(AD$2&gt;Inputs!$D$55,MIN(Inputs!$D$62,AD48+AD49),0)</f>
        <v>2698.69993551094</v>
      </c>
      <c r="AE50" s="11" t="n">
        <f aca="false">IF(AE$2&gt;Inputs!$D$55,MIN(Inputs!$D$62,AE48+AE49),0)</f>
        <v>2698.69993551094</v>
      </c>
      <c r="AF50" s="11" t="n">
        <f aca="false">IF(AF$2&gt;Inputs!$D$55,MIN(Inputs!$D$62,AF48+AF49),0)</f>
        <v>2698.69993551094</v>
      </c>
      <c r="AG50" s="11" t="n">
        <f aca="false">IF(AG$2&gt;Inputs!$D$55,MIN(Inputs!$D$62,AG48+AG49),0)</f>
        <v>2698.69993551094</v>
      </c>
      <c r="AH50" s="11" t="n">
        <f aca="false">IF(AH$2&gt;Inputs!$D$55,MIN(Inputs!$D$62,AH48+AH49),0)</f>
        <v>2698.69993551094</v>
      </c>
      <c r="AI50" s="11" t="n">
        <f aca="false">IF(AI$2&gt;Inputs!$D$55,MIN(Inputs!$D$62,AI48+AI49),0)</f>
        <v>2698.69993551094</v>
      </c>
      <c r="AJ50" s="11" t="n">
        <f aca="false">IF(AJ$2&gt;Inputs!$D$55,MIN(Inputs!$D$62,AJ48+AJ49),0)</f>
        <v>2698.69993551094</v>
      </c>
      <c r="AK50" s="11" t="n">
        <f aca="false">IF(AK$2&gt;Inputs!$D$55,MIN(Inputs!$D$62,AK48+AK49),0)</f>
        <v>2698.69993551094</v>
      </c>
      <c r="AL50" s="11" t="n">
        <f aca="false">IF(AL$2&gt;Inputs!$D$55,MIN(Inputs!$D$62,AL48+AL49),0)</f>
        <v>2698.69993551094</v>
      </c>
    </row>
    <row r="51" customFormat="false" ht="15" hidden="false" customHeight="false" outlineLevel="0" collapsed="false">
      <c r="A51" s="2" t="s">
        <v>233</v>
      </c>
      <c r="B51" s="4"/>
      <c r="C51" s="11" t="n">
        <f aca="false">C48+C46+C49-C50</f>
        <v>0</v>
      </c>
      <c r="D51" s="11" t="n">
        <f aca="false">D48+D46+D49-D50</f>
        <v>0</v>
      </c>
      <c r="E51" s="11" t="n">
        <f aca="false">E48+E46+E49-E50</f>
        <v>0</v>
      </c>
      <c r="F51" s="11" t="n">
        <f aca="false">F48+F46+F49-F50</f>
        <v>0</v>
      </c>
      <c r="G51" s="11" t="n">
        <f aca="false">G48+G46+G49-G50</f>
        <v>200000</v>
      </c>
      <c r="H51" s="11" t="n">
        <f aca="false">H48+H46+H49-H50</f>
        <v>199051.300064489</v>
      </c>
      <c r="I51" s="11" t="n">
        <f aca="false">I48+I46+I49-I50</f>
        <v>198094.299004542</v>
      </c>
      <c r="J51" s="11" t="n">
        <f aca="false">J48+J46+J49-J50</f>
        <v>197128.924185321</v>
      </c>
      <c r="K51" s="11" t="n">
        <f aca="false">K48+K46+K49-K50</f>
        <v>196155.102336432</v>
      </c>
      <c r="L51" s="11" t="n">
        <f aca="false">L48+L46+L49-L50</f>
        <v>195172.759546365</v>
      </c>
      <c r="M51" s="11" t="n">
        <f aca="false">M48+M46+M49-M50</f>
        <v>194181.821256885</v>
      </c>
      <c r="N51" s="11" t="n">
        <f aca="false">N48+N46+N49-N50</f>
        <v>193182.212257371</v>
      </c>
      <c r="O51" s="11" t="n">
        <f aca="false">O48+O46+O49-O50</f>
        <v>192173.856679112</v>
      </c>
      <c r="P51" s="11" t="n">
        <f aca="false">P48+P46+P49-P50</f>
        <v>191156.677989544</v>
      </c>
      <c r="Q51" s="11" t="n">
        <f aca="false">Q48+Q46+Q49-Q50</f>
        <v>190130.598986441</v>
      </c>
      <c r="R51" s="11" t="n">
        <f aca="false">R48+R46+R49-R50</f>
        <v>189095.541792062</v>
      </c>
      <c r="S51" s="11" t="n">
        <f aca="false">S48+S46+S49-S50</f>
        <v>188051.427847231</v>
      </c>
      <c r="T51" s="11" t="n">
        <f aca="false">T48+T46+T49-T50</f>
        <v>186998.177905384</v>
      </c>
      <c r="U51" s="11" t="n">
        <f aca="false">U48+U46+U49-U50</f>
        <v>185935.712026545</v>
      </c>
      <c r="V51" s="11" t="n">
        <f aca="false">V48+V46+V49-V50</f>
        <v>184863.949571266</v>
      </c>
      <c r="W51" s="11" t="n">
        <f aca="false">W48+W46+W49-W50</f>
        <v>183782.809194504</v>
      </c>
      <c r="X51" s="11" t="n">
        <f aca="false">X48+X46+X49-X50</f>
        <v>182692.208839445</v>
      </c>
      <c r="Y51" s="11" t="n">
        <f aca="false">Y48+Y46+Y49-Y50</f>
        <v>181592.065731279</v>
      </c>
      <c r="Z51" s="11" t="n">
        <f aca="false">Z48+Z46+Z49-Z50</f>
        <v>180482.296370917</v>
      </c>
      <c r="AA51" s="11" t="n">
        <f aca="false">AA48+AA46+AA49-AA50</f>
        <v>179362.816528651</v>
      </c>
      <c r="AB51" s="11" t="n">
        <f aca="false">AB48+AB46+AB49-AB50</f>
        <v>178233.541237766</v>
      </c>
      <c r="AC51" s="11" t="n">
        <f aca="false">AC48+AC46+AC49-AC50</f>
        <v>177094.384788086</v>
      </c>
      <c r="AD51" s="11" t="n">
        <f aca="false">AD48+AD46+AD49-AD50</f>
        <v>175945.260719471</v>
      </c>
      <c r="AE51" s="11" t="n">
        <f aca="false">AE48+AE46+AE49-AE50</f>
        <v>174786.081815255</v>
      </c>
      <c r="AF51" s="11" t="n">
        <f aca="false">AF48+AF46+AF49-AF50</f>
        <v>173616.760095627</v>
      </c>
      <c r="AG51" s="11" t="n">
        <f aca="false">AG48+AG46+AG49-AG50</f>
        <v>172437.206810953</v>
      </c>
      <c r="AH51" s="11" t="n">
        <f aca="false">AH48+AH46+AH49-AH50</f>
        <v>171247.332435038</v>
      </c>
      <c r="AI51" s="11" t="n">
        <f aca="false">AI48+AI46+AI49-AI50</f>
        <v>170047.046658334</v>
      </c>
      <c r="AJ51" s="11" t="n">
        <f aca="false">AJ48+AJ46+AJ49-AJ50</f>
        <v>168836.258381083</v>
      </c>
      <c r="AK51" s="11" t="n">
        <f aca="false">AK48+AK46+AK49-AK50</f>
        <v>167614.875706407</v>
      </c>
      <c r="AL51" s="11" t="n">
        <f aca="false">AL48+AL46+AL49-AL50</f>
        <v>166382.805933327</v>
      </c>
    </row>
    <row r="52" customFormat="false" ht="15" hidden="false" customHeight="false" outlineLevel="0" collapsed="false">
      <c r="A52" s="2" t="s">
        <v>234</v>
      </c>
      <c r="B52" s="4"/>
      <c r="C52" s="11" t="n">
        <f aca="false">C41-C44+C45+C46+C47-C50</f>
        <v>-47346.1666666667</v>
      </c>
      <c r="D52" s="11" t="n">
        <f aca="false">D41-D44+D45+D46+D47-D50</f>
        <v>-17846.1666666667</v>
      </c>
      <c r="E52" s="11" t="n">
        <f aca="false">E41-E44+E45+E46+E47-E50</f>
        <v>-7706.16666666667</v>
      </c>
      <c r="F52" s="11" t="n">
        <f aca="false">F41-F44+F45+F46+F47-F50</f>
        <v>-11426.1666666667</v>
      </c>
      <c r="G52" s="11" t="n">
        <f aca="false">G41-G44+G45+G46+G47-G50</f>
        <v>388573.833333333</v>
      </c>
      <c r="H52" s="11" t="n">
        <f aca="false">H41-H44+H45+H46+H47-H50</f>
        <v>-13812.3666021776</v>
      </c>
      <c r="I52" s="11" t="n">
        <f aca="false">I41-I44+I45+I46+I47-I50</f>
        <v>-11767.3666021776</v>
      </c>
      <c r="J52" s="11" t="n">
        <f aca="false">J41-J44+J45+J46+J47-J50</f>
        <v>-15892.3666021776</v>
      </c>
      <c r="K52" s="11" t="n">
        <f aca="false">K41-K44+K45+K46+K47-K50</f>
        <v>-7127.36660217761</v>
      </c>
      <c r="L52" s="11" t="n">
        <f aca="false">L41-L44+L45+L46+L47-L50</f>
        <v>-9697.36660217761</v>
      </c>
      <c r="M52" s="11" t="n">
        <f aca="false">M41-M44+M45+M46+M47-M50</f>
        <v>-11422.3666021776</v>
      </c>
      <c r="N52" s="11" t="n">
        <f aca="false">N41-N44+N45+N46+N47-N50</f>
        <v>-6924.86660217761</v>
      </c>
      <c r="O52" s="11" t="n">
        <f aca="false">O41-O44+O45+O46+O47-O50</f>
        <v>-10642.0332688443</v>
      </c>
      <c r="P52" s="11" t="n">
        <f aca="false">P41-P44+P45+P46+P47-P50</f>
        <v>-12367.0332688443</v>
      </c>
      <c r="Q52" s="11" t="n">
        <f aca="false">Q41-Q44+Q45+Q46+Q47-Q50</f>
        <v>-7858.90826884428</v>
      </c>
      <c r="R52" s="11" t="n">
        <f aca="false">R41-R44+R45+R46+R47-R50</f>
        <v>-9986.40826884428</v>
      </c>
      <c r="S52" s="11" t="n">
        <f aca="false">S41-S44+S45+S46+S47-S50</f>
        <v>-7941.40826884428</v>
      </c>
      <c r="T52" s="11" t="n">
        <f aca="false">T41-T44+T45+T46+T47-T50</f>
        <v>-9443.28326884428</v>
      </c>
      <c r="U52" s="11" t="n">
        <f aca="false">U41-U44+U45+U46+U47-U50</f>
        <v>-5158.28326884428</v>
      </c>
      <c r="V52" s="11" t="n">
        <f aca="false">V41-V44+V45+V46+V47-V50</f>
        <v>6589.21673115572</v>
      </c>
      <c r="W52" s="11" t="n">
        <f aca="false">W41-W44+W45+W46+W47-W50</f>
        <v>-9365.78326884428</v>
      </c>
      <c r="X52" s="11" t="n">
        <f aca="false">X41-X44+X45+X46+X47-X50</f>
        <v>3747.34173115572</v>
      </c>
      <c r="Y52" s="11" t="n">
        <f aca="false">Y41-Y44+Y45+Y46+Y47-Y50</f>
        <v>-6985.15826884428</v>
      </c>
      <c r="Z52" s="11" t="n">
        <f aca="false">Z41-Z44+Z45+Z46+Z47-Z50</f>
        <v>3504.84173115572</v>
      </c>
      <c r="AA52" s="11" t="n">
        <f aca="false">AA41-AA44+AA45+AA46+AA47-AA50</f>
        <v>-4024.01243551094</v>
      </c>
      <c r="AB52" s="11" t="n">
        <f aca="false">AB41-AB44+AB45+AB46+AB47-AB50</f>
        <v>-4375.67910217761</v>
      </c>
      <c r="AC52" s="11" t="n">
        <f aca="false">AC41-AC44+AC45+AC46+AC47-AC50</f>
        <v>-4292.02285217761</v>
      </c>
      <c r="AD52" s="11" t="n">
        <f aca="false">AD41-AD44+AD45+AD46+AD47-AD50</f>
        <v>-4602.64785217761</v>
      </c>
      <c r="AE52" s="11" t="n">
        <f aca="false">AE41-AE44+AE45+AE46+AE47-AE50</f>
        <v>-8493.36660217761</v>
      </c>
      <c r="AF52" s="11" t="n">
        <f aca="false">AF41-AF44+AF45+AF46+AF47-AF50</f>
        <v>13505.9146478224</v>
      </c>
      <c r="AG52" s="11" t="n">
        <f aca="false">AG41-AG44+AG45+AG46+AG47-AG50</f>
        <v>-1884.71035217761</v>
      </c>
      <c r="AH52" s="11" t="n">
        <f aca="false">AH41-AH44+AH45+AH46+AH47-AH50</f>
        <v>-6009.71035217761</v>
      </c>
      <c r="AI52" s="11" t="n">
        <f aca="false">AI41-AI44+AI45+AI46+AI47-AI50</f>
        <v>4714.57089782239</v>
      </c>
      <c r="AJ52" s="11" t="n">
        <f aca="false">AJ41-AJ44+AJ45+AJ46+AJ47-AJ50</f>
        <v>2678.94589782239</v>
      </c>
      <c r="AK52" s="11" t="n">
        <f aca="false">AK41-AK44+AK45+AK46+AK47-AK50</f>
        <v>2838.94589782239</v>
      </c>
      <c r="AL52" s="11" t="n">
        <f aca="false">AL41-AL44+AL45+AL46+AL47-AL50</f>
        <v>9127.60214782239</v>
      </c>
    </row>
    <row r="53" customFormat="false" ht="15" hidden="false" customHeight="false" outlineLevel="0" collapsed="false">
      <c r="A53" s="3" t="s">
        <v>235</v>
      </c>
      <c r="B53" s="4"/>
      <c r="C53" s="11" t="n">
        <f aca="false">0+C52</f>
        <v>-47346.1666666667</v>
      </c>
      <c r="D53" s="11" t="n">
        <f aca="false">C53+D52</f>
        <v>-65192.3333333333</v>
      </c>
      <c r="E53" s="11" t="n">
        <f aca="false">D53+E52</f>
        <v>-72898.5</v>
      </c>
      <c r="F53" s="11" t="n">
        <f aca="false">E53+F52</f>
        <v>-84324.6666666667</v>
      </c>
      <c r="G53" s="11" t="n">
        <f aca="false">F53+G52</f>
        <v>304249.166666667</v>
      </c>
      <c r="H53" s="11" t="n">
        <f aca="false">G53+H52</f>
        <v>290436.800064489</v>
      </c>
      <c r="I53" s="11" t="n">
        <f aca="false">H53+I52</f>
        <v>278669.433462311</v>
      </c>
      <c r="J53" s="11" t="n">
        <f aca="false">I53+J52</f>
        <v>262777.066860134</v>
      </c>
      <c r="K53" s="11" t="n">
        <f aca="false">J53+K52</f>
        <v>255649.700257956</v>
      </c>
      <c r="L53" s="11" t="n">
        <f aca="false">K53+L52</f>
        <v>245952.333655779</v>
      </c>
      <c r="M53" s="11" t="n">
        <f aca="false">L53+M52</f>
        <v>234529.967053601</v>
      </c>
      <c r="N53" s="11" t="n">
        <f aca="false">M53+N52</f>
        <v>227605.100451423</v>
      </c>
      <c r="O53" s="11" t="n">
        <f aca="false">N53+O52</f>
        <v>216963.067182579</v>
      </c>
      <c r="P53" s="11" t="n">
        <f aca="false">O53+P52</f>
        <v>204596.033913735</v>
      </c>
      <c r="Q53" s="11" t="n">
        <f aca="false">P53+Q52</f>
        <v>196737.125644891</v>
      </c>
      <c r="R53" s="11" t="n">
        <f aca="false">Q53+R52</f>
        <v>186750.717376046</v>
      </c>
      <c r="S53" s="11" t="n">
        <f aca="false">R53+S52</f>
        <v>178809.309107202</v>
      </c>
      <c r="T53" s="11" t="n">
        <f aca="false">S53+T52</f>
        <v>169366.025838358</v>
      </c>
      <c r="U53" s="11" t="n">
        <f aca="false">T53+U52</f>
        <v>164207.742569513</v>
      </c>
      <c r="V53" s="11" t="n">
        <f aca="false">U53+V52</f>
        <v>170796.959300669</v>
      </c>
      <c r="W53" s="11" t="n">
        <f aca="false">V53+W52</f>
        <v>161431.176031825</v>
      </c>
      <c r="X53" s="11" t="n">
        <f aca="false">W53+X52</f>
        <v>165178.517762981</v>
      </c>
      <c r="Y53" s="11" t="n">
        <f aca="false">X53+Y52</f>
        <v>158193.359494136</v>
      </c>
      <c r="Z53" s="11" t="n">
        <f aca="false">Y53+Z52</f>
        <v>161698.201225292</v>
      </c>
      <c r="AA53" s="11" t="n">
        <f aca="false">Z53+AA52</f>
        <v>157674.188789781</v>
      </c>
      <c r="AB53" s="11" t="n">
        <f aca="false">AA53+AB52</f>
        <v>153298.509687604</v>
      </c>
      <c r="AC53" s="11" t="n">
        <f aca="false">AB53+AC52</f>
        <v>149006.486835426</v>
      </c>
      <c r="AD53" s="11" t="n">
        <f aca="false">AC53+AD52</f>
        <v>144403.838983248</v>
      </c>
      <c r="AE53" s="11" t="n">
        <f aca="false">AD53+AE52</f>
        <v>135910.472381071</v>
      </c>
      <c r="AF53" s="11" t="n">
        <f aca="false">AE53+AF52</f>
        <v>149416.387028893</v>
      </c>
      <c r="AG53" s="11" t="n">
        <f aca="false">AF53+AG52</f>
        <v>147531.676676716</v>
      </c>
      <c r="AH53" s="11" t="n">
        <f aca="false">AG53+AH52</f>
        <v>141521.966324538</v>
      </c>
      <c r="AI53" s="11" t="n">
        <f aca="false">AH53+AI52</f>
        <v>146236.53722236</v>
      </c>
      <c r="AJ53" s="11" t="n">
        <f aca="false">AI53+AJ52</f>
        <v>148915.483120183</v>
      </c>
      <c r="AK53" s="11" t="n">
        <f aca="false">AJ53+AK52</f>
        <v>151754.429018005</v>
      </c>
      <c r="AL53" s="11" t="n">
        <f aca="false">AK53+AL52</f>
        <v>160882.031165827</v>
      </c>
    </row>
    <row r="54" customFormat="false" ht="15" hidden="false" customHeight="false" outlineLevel="0" collapsed="false">
      <c r="A54" s="2" t="s">
        <v>236</v>
      </c>
      <c r="B54" s="4"/>
      <c r="C54" s="11" t="n">
        <f aca="false">0+C41-C44-C50</f>
        <v>-47346.1666666667</v>
      </c>
      <c r="D54" s="11" t="n">
        <f aca="false">C54+D41-D44-D50</f>
        <v>-65192.3333333333</v>
      </c>
      <c r="E54" s="11" t="n">
        <f aca="false">D54+E41-E44-E50</f>
        <v>-72898.5</v>
      </c>
      <c r="F54" s="11" t="n">
        <f aca="false">E54+F41-F44-F50</f>
        <v>-84324.6666666667</v>
      </c>
      <c r="G54" s="11" t="n">
        <f aca="false">F54+G41-G44-G50</f>
        <v>-95750.8333333334</v>
      </c>
      <c r="H54" s="11" t="n">
        <f aca="false">G54+H41-H44-H50</f>
        <v>-109563.199935511</v>
      </c>
      <c r="I54" s="11" t="n">
        <f aca="false">H54+I41-I44-I50</f>
        <v>-121330.566537689</v>
      </c>
      <c r="J54" s="11" t="n">
        <f aca="false">I54+J41-J44-J50</f>
        <v>-137222.933139866</v>
      </c>
      <c r="K54" s="11" t="n">
        <f aca="false">J54+K41-K44-K50</f>
        <v>-144350.299742044</v>
      </c>
      <c r="L54" s="11" t="n">
        <f aca="false">K54+L41-L44-L50</f>
        <v>-154047.666344221</v>
      </c>
      <c r="M54" s="11" t="n">
        <f aca="false">L54+M41-M44-M50</f>
        <v>-165470.032946399</v>
      </c>
      <c r="N54" s="11" t="n">
        <f aca="false">M54+N41-N44-N50</f>
        <v>-172394.899548577</v>
      </c>
      <c r="O54" s="11" t="n">
        <f aca="false">N54+O41-O44-O50</f>
        <v>-183036.932817421</v>
      </c>
      <c r="P54" s="11" t="n">
        <f aca="false">O54+P41-P44-P50</f>
        <v>-195403.966086265</v>
      </c>
      <c r="Q54" s="11" t="n">
        <f aca="false">P54+Q41-Q44-Q50</f>
        <v>-203262.874355109</v>
      </c>
      <c r="R54" s="11" t="n">
        <f aca="false">Q54+R41-R44-R50</f>
        <v>-213249.282623954</v>
      </c>
      <c r="S54" s="11" t="n">
        <f aca="false">R54+S41-S44-S50</f>
        <v>-221190.690892798</v>
      </c>
      <c r="T54" s="11" t="n">
        <f aca="false">S54+T41-T44-T50</f>
        <v>-230633.974161642</v>
      </c>
      <c r="U54" s="11" t="n">
        <f aca="false">T54+U41-U44-U50</f>
        <v>-235792.257430486</v>
      </c>
      <c r="V54" s="11" t="n">
        <f aca="false">U54+V41-V44-V50</f>
        <v>-229203.040699331</v>
      </c>
      <c r="W54" s="11" t="n">
        <f aca="false">V54+W41-W44-W50</f>
        <v>-238568.823968175</v>
      </c>
      <c r="X54" s="11" t="n">
        <f aca="false">W54+X41-X44-X50</f>
        <v>-234821.482237019</v>
      </c>
      <c r="Y54" s="11" t="n">
        <f aca="false">X54+Y41-Y44-Y50</f>
        <v>-241806.640505864</v>
      </c>
      <c r="Z54" s="11" t="n">
        <f aca="false">Y54+Z41-Z44-Z50</f>
        <v>-238301.798774708</v>
      </c>
      <c r="AA54" s="11" t="n">
        <f aca="false">Z54+AA41-AA44-AA50</f>
        <v>-242325.811210219</v>
      </c>
      <c r="AB54" s="11" t="n">
        <f aca="false">AA54+AB41-AB44-AB50</f>
        <v>-246701.490312396</v>
      </c>
      <c r="AC54" s="11" t="n">
        <f aca="false">AB54+AC41-AC44-AC50</f>
        <v>-250993.513164574</v>
      </c>
      <c r="AD54" s="11" t="n">
        <f aca="false">AC54+AD41-AD44-AD50</f>
        <v>-255596.161016752</v>
      </c>
      <c r="AE54" s="11" t="n">
        <f aca="false">AD54+AE41-AE44-AE50</f>
        <v>-264089.527618929</v>
      </c>
      <c r="AF54" s="11" t="n">
        <f aca="false">AE54+AF41-AF44-AF50</f>
        <v>-250583.612971107</v>
      </c>
      <c r="AG54" s="11" t="n">
        <f aca="false">AF54+AG41-AG44-AG50</f>
        <v>-252468.323323284</v>
      </c>
      <c r="AH54" s="11" t="n">
        <f aca="false">AG54+AH41-AH44-AH50</f>
        <v>-258478.033675462</v>
      </c>
      <c r="AI54" s="11" t="n">
        <f aca="false">AH54+AI41-AI44-AI50</f>
        <v>-253763.462777639</v>
      </c>
      <c r="AJ54" s="11" t="n">
        <f aca="false">AI54+AJ41-AJ44-AJ50</f>
        <v>-251084.516879817</v>
      </c>
      <c r="AK54" s="11" t="n">
        <f aca="false">AJ54+AK41-AK44-AK50</f>
        <v>-248245.570981995</v>
      </c>
      <c r="AL54" s="11" t="n">
        <f aca="false">AK54+AL41-AL44-AL50</f>
        <v>-239117.968834172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38" min="3" style="0" width="11"/>
  </cols>
  <sheetData>
    <row r="1" customFormat="false" ht="17.35" hidden="false" customHeight="false" outlineLevel="0" collapsed="false">
      <c r="A1" s="1" t="s">
        <v>238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customFormat="false" ht="15" hidden="false" customHeight="false" outlineLevel="0" collapsed="false">
      <c r="A2" s="3" t="s">
        <v>190</v>
      </c>
      <c r="B2" s="4"/>
      <c r="C2" s="22" t="n">
        <v>1</v>
      </c>
      <c r="D2" s="22" t="n">
        <v>2</v>
      </c>
      <c r="E2" s="22" t="n">
        <v>3</v>
      </c>
      <c r="F2" s="22" t="n">
        <v>4</v>
      </c>
      <c r="G2" s="22" t="n">
        <v>5</v>
      </c>
      <c r="H2" s="22" t="n">
        <v>6</v>
      </c>
      <c r="I2" s="22" t="n">
        <v>7</v>
      </c>
      <c r="J2" s="22" t="n">
        <v>8</v>
      </c>
      <c r="K2" s="22" t="n">
        <v>9</v>
      </c>
      <c r="L2" s="22" t="n">
        <v>10</v>
      </c>
      <c r="M2" s="22" t="n">
        <v>11</v>
      </c>
      <c r="N2" s="22" t="n">
        <v>12</v>
      </c>
      <c r="O2" s="22" t="n">
        <v>13</v>
      </c>
      <c r="P2" s="22" t="n">
        <v>14</v>
      </c>
      <c r="Q2" s="22" t="n">
        <v>15</v>
      </c>
      <c r="R2" s="22" t="n">
        <v>16</v>
      </c>
      <c r="S2" s="22" t="n">
        <v>17</v>
      </c>
      <c r="T2" s="22" t="n">
        <v>18</v>
      </c>
      <c r="U2" s="22" t="n">
        <v>19</v>
      </c>
      <c r="V2" s="22" t="n">
        <v>20</v>
      </c>
      <c r="W2" s="22" t="n">
        <v>21</v>
      </c>
      <c r="X2" s="22" t="n">
        <v>22</v>
      </c>
      <c r="Y2" s="22" t="n">
        <v>23</v>
      </c>
      <c r="Z2" s="22" t="n">
        <v>24</v>
      </c>
      <c r="AA2" s="22" t="n">
        <v>25</v>
      </c>
      <c r="AB2" s="22" t="n">
        <v>26</v>
      </c>
      <c r="AC2" s="22" t="n">
        <v>27</v>
      </c>
      <c r="AD2" s="22" t="n">
        <v>28</v>
      </c>
      <c r="AE2" s="22" t="n">
        <v>29</v>
      </c>
      <c r="AF2" s="22" t="n">
        <v>30</v>
      </c>
      <c r="AG2" s="22" t="n">
        <v>31</v>
      </c>
      <c r="AH2" s="22" t="n">
        <v>32</v>
      </c>
      <c r="AI2" s="22" t="n">
        <v>33</v>
      </c>
      <c r="AJ2" s="22" t="n">
        <v>34</v>
      </c>
      <c r="AK2" s="22" t="n">
        <v>35</v>
      </c>
      <c r="AL2" s="22" t="n">
        <v>36</v>
      </c>
    </row>
    <row r="3" customFormat="false" ht="15" hidden="false" customHeight="false" outlineLevel="0" collapsed="false">
      <c r="A3" s="3" t="s">
        <v>191</v>
      </c>
      <c r="B3" s="4"/>
      <c r="C3" s="2" t="n">
        <f aca="false">ROUNDUP(C2/12,0)</f>
        <v>1</v>
      </c>
      <c r="D3" s="2" t="n">
        <f aca="false">ROUNDUP(D2/12,0)</f>
        <v>1</v>
      </c>
      <c r="E3" s="2" t="n">
        <f aca="false">ROUNDUP(E2/12,0)</f>
        <v>1</v>
      </c>
      <c r="F3" s="2" t="n">
        <f aca="false">ROUNDUP(F2/12,0)</f>
        <v>1</v>
      </c>
      <c r="G3" s="2" t="n">
        <f aca="false">ROUNDUP(G2/12,0)</f>
        <v>1</v>
      </c>
      <c r="H3" s="2" t="n">
        <f aca="false">ROUNDUP(H2/12,0)</f>
        <v>1</v>
      </c>
      <c r="I3" s="2" t="n">
        <f aca="false">ROUNDUP(I2/12,0)</f>
        <v>1</v>
      </c>
      <c r="J3" s="2" t="n">
        <f aca="false">ROUNDUP(J2/12,0)</f>
        <v>1</v>
      </c>
      <c r="K3" s="2" t="n">
        <f aca="false">ROUNDUP(K2/12,0)</f>
        <v>1</v>
      </c>
      <c r="L3" s="2" t="n">
        <f aca="false">ROUNDUP(L2/12,0)</f>
        <v>1</v>
      </c>
      <c r="M3" s="2" t="n">
        <f aca="false">ROUNDUP(M2/12,0)</f>
        <v>1</v>
      </c>
      <c r="N3" s="2" t="n">
        <f aca="false">ROUNDUP(N2/12,0)</f>
        <v>1</v>
      </c>
      <c r="O3" s="2" t="n">
        <f aca="false">ROUNDUP(O2/12,0)</f>
        <v>2</v>
      </c>
      <c r="P3" s="2" t="n">
        <f aca="false">ROUNDUP(P2/12,0)</f>
        <v>2</v>
      </c>
      <c r="Q3" s="2" t="n">
        <f aca="false">ROUNDUP(Q2/12,0)</f>
        <v>2</v>
      </c>
      <c r="R3" s="2" t="n">
        <f aca="false">ROUNDUP(R2/12,0)</f>
        <v>2</v>
      </c>
      <c r="S3" s="2" t="n">
        <f aca="false">ROUNDUP(S2/12,0)</f>
        <v>2</v>
      </c>
      <c r="T3" s="2" t="n">
        <f aca="false">ROUNDUP(T2/12,0)</f>
        <v>2</v>
      </c>
      <c r="U3" s="2" t="n">
        <f aca="false">ROUNDUP(U2/12,0)</f>
        <v>2</v>
      </c>
      <c r="V3" s="2" t="n">
        <f aca="false">ROUNDUP(V2/12,0)</f>
        <v>2</v>
      </c>
      <c r="W3" s="2" t="n">
        <f aca="false">ROUNDUP(W2/12,0)</f>
        <v>2</v>
      </c>
      <c r="X3" s="2" t="n">
        <f aca="false">ROUNDUP(X2/12,0)</f>
        <v>2</v>
      </c>
      <c r="Y3" s="2" t="n">
        <f aca="false">ROUNDUP(Y2/12,0)</f>
        <v>2</v>
      </c>
      <c r="Z3" s="2" t="n">
        <f aca="false">ROUNDUP(Z2/12,0)</f>
        <v>2</v>
      </c>
      <c r="AA3" s="2" t="n">
        <f aca="false">ROUNDUP(AA2/12,0)</f>
        <v>3</v>
      </c>
      <c r="AB3" s="2" t="n">
        <f aca="false">ROUNDUP(AB2/12,0)</f>
        <v>3</v>
      </c>
      <c r="AC3" s="2" t="n">
        <f aca="false">ROUNDUP(AC2/12,0)</f>
        <v>3</v>
      </c>
      <c r="AD3" s="2" t="n">
        <f aca="false">ROUNDUP(AD2/12,0)</f>
        <v>3</v>
      </c>
      <c r="AE3" s="2" t="n">
        <f aca="false">ROUNDUP(AE2/12,0)</f>
        <v>3</v>
      </c>
      <c r="AF3" s="2" t="n">
        <f aca="false">ROUNDUP(AF2/12,0)</f>
        <v>3</v>
      </c>
      <c r="AG3" s="2" t="n">
        <f aca="false">ROUNDUP(AG2/12,0)</f>
        <v>3</v>
      </c>
      <c r="AH3" s="2" t="n">
        <f aca="false">ROUNDUP(AH2/12,0)</f>
        <v>3</v>
      </c>
      <c r="AI3" s="2" t="n">
        <f aca="false">ROUNDUP(AI2/12,0)</f>
        <v>3</v>
      </c>
      <c r="AJ3" s="2" t="n">
        <f aca="false">ROUNDUP(AJ2/12,0)</f>
        <v>3</v>
      </c>
      <c r="AK3" s="2" t="n">
        <f aca="false">ROUNDUP(AK2/12,0)</f>
        <v>3</v>
      </c>
      <c r="AL3" s="2" t="n">
        <f aca="false">ROUNDUP(AL2/12,0)</f>
        <v>3</v>
      </c>
    </row>
    <row r="4" customFormat="false" ht="15" hidden="false" customHeight="false" outlineLevel="0" collapsed="false">
      <c r="A4" s="3" t="s">
        <v>192</v>
      </c>
      <c r="B4" s="4"/>
      <c r="C4" s="23" t="n">
        <f aca="false">DATE(2026,10,19)+ROUND((C2-1)*30.44,0)</f>
        <v>46314</v>
      </c>
      <c r="D4" s="23" t="n">
        <f aca="false">DATE(2026,10,19)+ROUND((D2-1)*30.44,0)</f>
        <v>46344</v>
      </c>
      <c r="E4" s="23" t="n">
        <f aca="false">DATE(2026,10,19)+ROUND((E2-1)*30.44,0)</f>
        <v>46375</v>
      </c>
      <c r="F4" s="23" t="n">
        <f aca="false">DATE(2026,10,19)+ROUND((F2-1)*30.44,0)</f>
        <v>46405</v>
      </c>
      <c r="G4" s="23" t="n">
        <f aca="false">DATE(2026,10,19)+ROUND((G2-1)*30.44,0)</f>
        <v>46436</v>
      </c>
      <c r="H4" s="23" t="n">
        <f aca="false">DATE(2026,10,19)+ROUND((H2-1)*30.44,0)</f>
        <v>46466</v>
      </c>
      <c r="I4" s="23" t="n">
        <f aca="false">DATE(2026,10,19)+ROUND((I2-1)*30.44,0)</f>
        <v>46497</v>
      </c>
      <c r="J4" s="23" t="n">
        <f aca="false">DATE(2026,10,19)+ROUND((J2-1)*30.44,0)</f>
        <v>46527</v>
      </c>
      <c r="K4" s="23" t="n">
        <f aca="false">DATE(2026,10,19)+ROUND((K2-1)*30.44,0)</f>
        <v>46558</v>
      </c>
      <c r="L4" s="23" t="n">
        <f aca="false">DATE(2026,10,19)+ROUND((L2-1)*30.44,0)</f>
        <v>46588</v>
      </c>
      <c r="M4" s="23" t="n">
        <f aca="false">DATE(2026,10,19)+ROUND((M2-1)*30.44,0)</f>
        <v>46618</v>
      </c>
      <c r="N4" s="23" t="n">
        <f aca="false">DATE(2026,10,19)+ROUND((N2-1)*30.44,0)</f>
        <v>46649</v>
      </c>
      <c r="O4" s="23" t="n">
        <f aca="false">DATE(2026,10,19)+ROUND((O2-1)*30.44,0)</f>
        <v>46679</v>
      </c>
      <c r="P4" s="23" t="n">
        <f aca="false">DATE(2026,10,19)+ROUND((P2-1)*30.44,0)</f>
        <v>46710</v>
      </c>
      <c r="Q4" s="23" t="n">
        <f aca="false">DATE(2026,10,19)+ROUND((Q2-1)*30.44,0)</f>
        <v>46740</v>
      </c>
      <c r="R4" s="23" t="n">
        <f aca="false">DATE(2026,10,19)+ROUND((R2-1)*30.44,0)</f>
        <v>46771</v>
      </c>
      <c r="S4" s="23" t="n">
        <f aca="false">DATE(2026,10,19)+ROUND((S2-1)*30.44,0)</f>
        <v>46801</v>
      </c>
      <c r="T4" s="23" t="n">
        <f aca="false">DATE(2026,10,19)+ROUND((T2-1)*30.44,0)</f>
        <v>46831</v>
      </c>
      <c r="U4" s="23" t="n">
        <f aca="false">DATE(2026,10,19)+ROUND((U2-1)*30.44,0)</f>
        <v>46862</v>
      </c>
      <c r="V4" s="23" t="n">
        <f aca="false">DATE(2026,10,19)+ROUND((V2-1)*30.44,0)</f>
        <v>46892</v>
      </c>
      <c r="W4" s="23" t="n">
        <f aca="false">DATE(2026,10,19)+ROUND((W2-1)*30.44,0)</f>
        <v>46923</v>
      </c>
      <c r="X4" s="23" t="n">
        <f aca="false">DATE(2026,10,19)+ROUND((X2-1)*30.44,0)</f>
        <v>46953</v>
      </c>
      <c r="Y4" s="23" t="n">
        <f aca="false">DATE(2026,10,19)+ROUND((Y2-1)*30.44,0)</f>
        <v>46984</v>
      </c>
      <c r="Z4" s="23" t="n">
        <f aca="false">DATE(2026,10,19)+ROUND((Z2-1)*30.44,0)</f>
        <v>47014</v>
      </c>
      <c r="AA4" s="23" t="n">
        <f aca="false">DATE(2026,10,19)+ROUND((AA2-1)*30.44,0)</f>
        <v>47045</v>
      </c>
      <c r="AB4" s="23" t="n">
        <f aca="false">DATE(2026,10,19)+ROUND((AB2-1)*30.44,0)</f>
        <v>47075</v>
      </c>
      <c r="AC4" s="23" t="n">
        <f aca="false">DATE(2026,10,19)+ROUND((AC2-1)*30.44,0)</f>
        <v>47105</v>
      </c>
      <c r="AD4" s="23" t="n">
        <f aca="false">DATE(2026,10,19)+ROUND((AD2-1)*30.44,0)</f>
        <v>47136</v>
      </c>
      <c r="AE4" s="23" t="n">
        <f aca="false">DATE(2026,10,19)+ROUND((AE2-1)*30.44,0)</f>
        <v>47166</v>
      </c>
      <c r="AF4" s="23" t="n">
        <f aca="false">DATE(2026,10,19)+ROUND((AF2-1)*30.44,0)</f>
        <v>47197</v>
      </c>
      <c r="AG4" s="23" t="n">
        <f aca="false">DATE(2026,10,19)+ROUND((AG2-1)*30.44,0)</f>
        <v>47227</v>
      </c>
      <c r="AH4" s="23" t="n">
        <f aca="false">DATE(2026,10,19)+ROUND((AH2-1)*30.44,0)</f>
        <v>47258</v>
      </c>
      <c r="AI4" s="23" t="n">
        <f aca="false">DATE(2026,10,19)+ROUND((AI2-1)*30.44,0)</f>
        <v>47288</v>
      </c>
      <c r="AJ4" s="23" t="n">
        <f aca="false">DATE(2026,10,19)+ROUND((AJ2-1)*30.44,0)</f>
        <v>47319</v>
      </c>
      <c r="AK4" s="23" t="n">
        <f aca="false">DATE(2026,10,19)+ROUND((AK2-1)*30.44,0)</f>
        <v>47349</v>
      </c>
      <c r="AL4" s="23" t="n">
        <f aca="false">DATE(2026,10,19)+ROUND((AL2-1)*30.44,0)</f>
        <v>47379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customFormat="false" ht="15" hidden="false" customHeight="false" outlineLevel="0" collapsed="false">
      <c r="A6" s="14" t="s">
        <v>193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customFormat="false" ht="15" hidden="false" customHeight="false" outlineLevel="0" collapsed="false">
      <c r="A7" s="2" t="s">
        <v>194</v>
      </c>
      <c r="B7" s="4"/>
      <c r="C7" s="21" t="n">
        <f aca="false">IF(C$2=Inputs!$E$6,1,0)</f>
        <v>1</v>
      </c>
      <c r="D7" s="21" t="n">
        <f aca="false">IF(D$2=Inputs!$E$6,1,0)</f>
        <v>0</v>
      </c>
      <c r="E7" s="21" t="n">
        <f aca="false">IF(E$2=Inputs!$E$6,1,0)</f>
        <v>0</v>
      </c>
      <c r="F7" s="21" t="n">
        <f aca="false">IF(F$2=Inputs!$E$6,1,0)</f>
        <v>0</v>
      </c>
      <c r="G7" s="21" t="n">
        <f aca="false">IF(G$2=Inputs!$E$6,1,0)</f>
        <v>0</v>
      </c>
      <c r="H7" s="21" t="n">
        <f aca="false">IF(H$2=Inputs!$E$6,1,0)</f>
        <v>0</v>
      </c>
      <c r="I7" s="21" t="n">
        <f aca="false">IF(I$2=Inputs!$E$6,1,0)</f>
        <v>0</v>
      </c>
      <c r="J7" s="21" t="n">
        <f aca="false">IF(J$2=Inputs!$E$6,1,0)</f>
        <v>0</v>
      </c>
      <c r="K7" s="21" t="n">
        <f aca="false">IF(K$2=Inputs!$E$6,1,0)</f>
        <v>0</v>
      </c>
      <c r="L7" s="21" t="n">
        <f aca="false">IF(L$2=Inputs!$E$6,1,0)</f>
        <v>0</v>
      </c>
      <c r="M7" s="21" t="n">
        <f aca="false">IF(M$2=Inputs!$E$6,1,0)</f>
        <v>0</v>
      </c>
      <c r="N7" s="21" t="n">
        <f aca="false">IF(N$2=Inputs!$E$6,1,0)</f>
        <v>0</v>
      </c>
      <c r="O7" s="21" t="n">
        <f aca="false">IF(O$2=Inputs!$E$6,1,0)</f>
        <v>0</v>
      </c>
      <c r="P7" s="21" t="n">
        <f aca="false">IF(P$2=Inputs!$E$6,1,0)</f>
        <v>0</v>
      </c>
      <c r="Q7" s="21" t="n">
        <f aca="false">IF(Q$2=Inputs!$E$6,1,0)</f>
        <v>0</v>
      </c>
      <c r="R7" s="21" t="n">
        <f aca="false">IF(R$2=Inputs!$E$6,1,0)</f>
        <v>0</v>
      </c>
      <c r="S7" s="21" t="n">
        <f aca="false">IF(S$2=Inputs!$E$6,1,0)</f>
        <v>0</v>
      </c>
      <c r="T7" s="21" t="n">
        <f aca="false">IF(T$2=Inputs!$E$6,1,0)</f>
        <v>0</v>
      </c>
      <c r="U7" s="21" t="n">
        <f aca="false">IF(U$2=Inputs!$E$6,1,0)</f>
        <v>0</v>
      </c>
      <c r="V7" s="21" t="n">
        <f aca="false">IF(V$2=Inputs!$E$6,1,0)</f>
        <v>0</v>
      </c>
      <c r="W7" s="21" t="n">
        <f aca="false">IF(W$2=Inputs!$E$6,1,0)</f>
        <v>0</v>
      </c>
      <c r="X7" s="21" t="n">
        <f aca="false">IF(X$2=Inputs!$E$6,1,0)</f>
        <v>0</v>
      </c>
      <c r="Y7" s="21" t="n">
        <f aca="false">IF(Y$2=Inputs!$E$6,1,0)</f>
        <v>0</v>
      </c>
      <c r="Z7" s="21" t="n">
        <f aca="false">IF(Z$2=Inputs!$E$6,1,0)</f>
        <v>0</v>
      </c>
      <c r="AA7" s="21" t="n">
        <f aca="false">IF(AA$2=Inputs!$E$6,1,0)</f>
        <v>0</v>
      </c>
      <c r="AB7" s="21" t="n">
        <f aca="false">IF(AB$2=Inputs!$E$6,1,0)</f>
        <v>0</v>
      </c>
      <c r="AC7" s="21" t="n">
        <f aca="false">IF(AC$2=Inputs!$E$6,1,0)</f>
        <v>0</v>
      </c>
      <c r="AD7" s="21" t="n">
        <f aca="false">IF(AD$2=Inputs!$E$6,1,0)</f>
        <v>0</v>
      </c>
      <c r="AE7" s="21" t="n">
        <f aca="false">IF(AE$2=Inputs!$E$6,1,0)</f>
        <v>0</v>
      </c>
      <c r="AF7" s="21" t="n">
        <f aca="false">IF(AF$2=Inputs!$E$6,1,0)</f>
        <v>0</v>
      </c>
      <c r="AG7" s="21" t="n">
        <f aca="false">IF(AG$2=Inputs!$E$6,1,0)</f>
        <v>0</v>
      </c>
      <c r="AH7" s="21" t="n">
        <f aca="false">IF(AH$2=Inputs!$E$6,1,0)</f>
        <v>0</v>
      </c>
      <c r="AI7" s="21" t="n">
        <f aca="false">IF(AI$2=Inputs!$E$6,1,0)</f>
        <v>0</v>
      </c>
      <c r="AJ7" s="21" t="n">
        <f aca="false">IF(AJ$2=Inputs!$E$6,1,0)</f>
        <v>0</v>
      </c>
      <c r="AK7" s="21" t="n">
        <f aca="false">IF(AK$2=Inputs!$E$6,1,0)</f>
        <v>0</v>
      </c>
      <c r="AL7" s="21" t="n">
        <f aca="false">IF(AL$2=Inputs!$E$6,1,0)</f>
        <v>0</v>
      </c>
    </row>
    <row r="8" customFormat="false" ht="15" hidden="false" customHeight="false" outlineLevel="0" collapsed="false">
      <c r="A8" s="2" t="s">
        <v>183</v>
      </c>
      <c r="B8" s="4"/>
      <c r="C8" s="9" t="n">
        <f aca="false">Schedules!C16</f>
        <v>0</v>
      </c>
      <c r="D8" s="9" t="n">
        <f aca="false">Schedules!D16</f>
        <v>0</v>
      </c>
      <c r="E8" s="9" t="n">
        <f aca="false">Schedules!E16</f>
        <v>0</v>
      </c>
      <c r="F8" s="9" t="n">
        <f aca="false">Schedules!F16</f>
        <v>0</v>
      </c>
      <c r="G8" s="9" t="n">
        <f aca="false">Schedules!G16</f>
        <v>0</v>
      </c>
      <c r="H8" s="9" t="n">
        <f aca="false">Schedules!H16</f>
        <v>1</v>
      </c>
      <c r="I8" s="9" t="n">
        <f aca="false">Schedules!I16</f>
        <v>0</v>
      </c>
      <c r="J8" s="9" t="n">
        <f aca="false">Schedules!J16</f>
        <v>1</v>
      </c>
      <c r="K8" s="9" t="n">
        <f aca="false">Schedules!K16</f>
        <v>0</v>
      </c>
      <c r="L8" s="9" t="n">
        <f aca="false">Schedules!L16</f>
        <v>1</v>
      </c>
      <c r="M8" s="9" t="n">
        <f aca="false">Schedules!M16</f>
        <v>0</v>
      </c>
      <c r="N8" s="9" t="n">
        <f aca="false">Schedules!N16</f>
        <v>0</v>
      </c>
      <c r="O8" s="9" t="n">
        <f aca="false">Schedules!O16</f>
        <v>1</v>
      </c>
      <c r="P8" s="9" t="n">
        <f aca="false">Schedules!P16</f>
        <v>1</v>
      </c>
      <c r="Q8" s="9" t="n">
        <f aca="false">Schedules!Q16</f>
        <v>0</v>
      </c>
      <c r="R8" s="9" t="n">
        <f aca="false">Schedules!R16</f>
        <v>1</v>
      </c>
      <c r="S8" s="9" t="n">
        <f aca="false">Schedules!S16</f>
        <v>0</v>
      </c>
      <c r="T8" s="9" t="n">
        <f aca="false">Schedules!T16</f>
        <v>1</v>
      </c>
      <c r="U8" s="9" t="n">
        <f aca="false">Schedules!U16</f>
        <v>0</v>
      </c>
      <c r="V8" s="9" t="n">
        <f aca="false">Schedules!V16</f>
        <v>1</v>
      </c>
      <c r="W8" s="9" t="n">
        <f aca="false">Schedules!W16</f>
        <v>1</v>
      </c>
      <c r="X8" s="9" t="n">
        <f aca="false">Schedules!X16</f>
        <v>0</v>
      </c>
      <c r="Y8" s="9" t="n">
        <f aca="false">Schedules!Y16</f>
        <v>1</v>
      </c>
      <c r="Z8" s="9" t="n">
        <f aca="false">Schedules!Z16</f>
        <v>0</v>
      </c>
      <c r="AA8" s="9" t="n">
        <f aca="false">Schedules!AA16</f>
        <v>1</v>
      </c>
      <c r="AB8" s="9" t="n">
        <f aca="false">Schedules!AB16</f>
        <v>1</v>
      </c>
      <c r="AC8" s="9" t="n">
        <f aca="false">Schedules!AC16</f>
        <v>0</v>
      </c>
      <c r="AD8" s="9" t="n">
        <f aca="false">Schedules!AD16</f>
        <v>1</v>
      </c>
      <c r="AE8" s="9" t="n">
        <f aca="false">Schedules!AE16</f>
        <v>0</v>
      </c>
      <c r="AF8" s="9" t="n">
        <f aca="false">Schedules!AF16</f>
        <v>1</v>
      </c>
      <c r="AG8" s="9" t="n">
        <f aca="false">Schedules!AG16</f>
        <v>1</v>
      </c>
      <c r="AH8" s="9" t="n">
        <f aca="false">Schedules!AH16</f>
        <v>1</v>
      </c>
      <c r="AI8" s="9" t="n">
        <f aca="false">Schedules!AI16</f>
        <v>1</v>
      </c>
      <c r="AJ8" s="9" t="n">
        <f aca="false">Schedules!AJ16</f>
        <v>1</v>
      </c>
      <c r="AK8" s="9" t="n">
        <f aca="false">Schedules!AK16</f>
        <v>1</v>
      </c>
      <c r="AL8" s="9" t="n">
        <f aca="false">Schedules!AL16</f>
        <v>0</v>
      </c>
    </row>
    <row r="9" customFormat="false" ht="15" hidden="false" customHeight="false" outlineLevel="0" collapsed="false">
      <c r="A9" s="2" t="s">
        <v>195</v>
      </c>
      <c r="B9" s="4"/>
      <c r="C9" s="21" t="n">
        <f aca="false">IF(C$2-Inputs!$E$12&gt;=1,INDEX($C$8:$AL$8,C$2-Inputs!$E$12),0)</f>
        <v>0</v>
      </c>
      <c r="D9" s="21" t="n">
        <f aca="false">IF(D$2-Inputs!$E$12&gt;=1,INDEX($C$8:$AL$8,D$2-Inputs!$E$12),0)</f>
        <v>0</v>
      </c>
      <c r="E9" s="21" t="n">
        <f aca="false">IF(E$2-Inputs!$E$12&gt;=1,INDEX($C$8:$AL$8,E$2-Inputs!$E$12),0)</f>
        <v>0</v>
      </c>
      <c r="F9" s="21" t="n">
        <f aca="false">IF(F$2-Inputs!$E$12&gt;=1,INDEX($C$8:$AL$8,F$2-Inputs!$E$12),0)</f>
        <v>0</v>
      </c>
      <c r="G9" s="21" t="n">
        <f aca="false">IF(G$2-Inputs!$E$12&gt;=1,INDEX($C$8:$AL$8,G$2-Inputs!$E$12),0)</f>
        <v>0</v>
      </c>
      <c r="H9" s="21" t="n">
        <f aca="false">IF(H$2-Inputs!$E$12&gt;=1,INDEX($C$8:$AL$8,H$2-Inputs!$E$12),0)</f>
        <v>0</v>
      </c>
      <c r="I9" s="21" t="n">
        <f aca="false">IF(I$2-Inputs!$E$12&gt;=1,INDEX($C$8:$AL$8,I$2-Inputs!$E$12),0)</f>
        <v>0</v>
      </c>
      <c r="J9" s="21" t="n">
        <f aca="false">IF(J$2-Inputs!$E$12&gt;=1,INDEX($C$8:$AL$8,J$2-Inputs!$E$12),0)</f>
        <v>1</v>
      </c>
      <c r="K9" s="21" t="n">
        <f aca="false">IF(K$2-Inputs!$E$12&gt;=1,INDEX($C$8:$AL$8,K$2-Inputs!$E$12),0)</f>
        <v>0</v>
      </c>
      <c r="L9" s="21" t="n">
        <f aca="false">IF(L$2-Inputs!$E$12&gt;=1,INDEX($C$8:$AL$8,L$2-Inputs!$E$12),0)</f>
        <v>1</v>
      </c>
      <c r="M9" s="21" t="n">
        <f aca="false">IF(M$2-Inputs!$E$12&gt;=1,INDEX($C$8:$AL$8,M$2-Inputs!$E$12),0)</f>
        <v>0</v>
      </c>
      <c r="N9" s="21" t="n">
        <f aca="false">IF(N$2-Inputs!$E$12&gt;=1,INDEX($C$8:$AL$8,N$2-Inputs!$E$12),0)</f>
        <v>1</v>
      </c>
      <c r="O9" s="21" t="n">
        <f aca="false">IF(O$2-Inputs!$E$12&gt;=1,INDEX($C$8:$AL$8,O$2-Inputs!$E$12),0)</f>
        <v>0</v>
      </c>
      <c r="P9" s="21" t="n">
        <f aca="false">IF(P$2-Inputs!$E$12&gt;=1,INDEX($C$8:$AL$8,P$2-Inputs!$E$12),0)</f>
        <v>0</v>
      </c>
      <c r="Q9" s="21" t="n">
        <f aca="false">IF(Q$2-Inputs!$E$12&gt;=1,INDEX($C$8:$AL$8,Q$2-Inputs!$E$12),0)</f>
        <v>1</v>
      </c>
      <c r="R9" s="21" t="n">
        <f aca="false">IF(R$2-Inputs!$E$12&gt;=1,INDEX($C$8:$AL$8,R$2-Inputs!$E$12),0)</f>
        <v>1</v>
      </c>
      <c r="S9" s="21" t="n">
        <f aca="false">IF(S$2-Inputs!$E$12&gt;=1,INDEX($C$8:$AL$8,S$2-Inputs!$E$12),0)</f>
        <v>0</v>
      </c>
      <c r="T9" s="21" t="n">
        <f aca="false">IF(T$2-Inputs!$E$12&gt;=1,INDEX($C$8:$AL$8,T$2-Inputs!$E$12),0)</f>
        <v>1</v>
      </c>
      <c r="U9" s="21" t="n">
        <f aca="false">IF(U$2-Inputs!$E$12&gt;=1,INDEX($C$8:$AL$8,U$2-Inputs!$E$12),0)</f>
        <v>0</v>
      </c>
      <c r="V9" s="21" t="n">
        <f aca="false">IF(V$2-Inputs!$E$12&gt;=1,INDEX($C$8:$AL$8,V$2-Inputs!$E$12),0)</f>
        <v>1</v>
      </c>
      <c r="W9" s="21" t="n">
        <f aca="false">IF(W$2-Inputs!$E$12&gt;=1,INDEX($C$8:$AL$8,W$2-Inputs!$E$12),0)</f>
        <v>0</v>
      </c>
      <c r="X9" s="21" t="n">
        <f aca="false">IF(X$2-Inputs!$E$12&gt;=1,INDEX($C$8:$AL$8,X$2-Inputs!$E$12),0)</f>
        <v>1</v>
      </c>
      <c r="Y9" s="21" t="n">
        <f aca="false">IF(Y$2-Inputs!$E$12&gt;=1,INDEX($C$8:$AL$8,Y$2-Inputs!$E$12),0)</f>
        <v>1</v>
      </c>
      <c r="Z9" s="21" t="n">
        <f aca="false">IF(Z$2-Inputs!$E$12&gt;=1,INDEX($C$8:$AL$8,Z$2-Inputs!$E$12),0)</f>
        <v>0</v>
      </c>
      <c r="AA9" s="21" t="n">
        <f aca="false">IF(AA$2-Inputs!$E$12&gt;=1,INDEX($C$8:$AL$8,AA$2-Inputs!$E$12),0)</f>
        <v>1</v>
      </c>
      <c r="AB9" s="21" t="n">
        <f aca="false">IF(AB$2-Inputs!$E$12&gt;=1,INDEX($C$8:$AL$8,AB$2-Inputs!$E$12),0)</f>
        <v>0</v>
      </c>
      <c r="AC9" s="21" t="n">
        <f aca="false">IF(AC$2-Inputs!$E$12&gt;=1,INDEX($C$8:$AL$8,AC$2-Inputs!$E$12),0)</f>
        <v>1</v>
      </c>
      <c r="AD9" s="21" t="n">
        <f aca="false">IF(AD$2-Inputs!$E$12&gt;=1,INDEX($C$8:$AL$8,AD$2-Inputs!$E$12),0)</f>
        <v>1</v>
      </c>
      <c r="AE9" s="21" t="n">
        <f aca="false">IF(AE$2-Inputs!$E$12&gt;=1,INDEX($C$8:$AL$8,AE$2-Inputs!$E$12),0)</f>
        <v>0</v>
      </c>
      <c r="AF9" s="21" t="n">
        <f aca="false">IF(AF$2-Inputs!$E$12&gt;=1,INDEX($C$8:$AL$8,AF$2-Inputs!$E$12),0)</f>
        <v>1</v>
      </c>
      <c r="AG9" s="21" t="n">
        <f aca="false">IF(AG$2-Inputs!$E$12&gt;=1,INDEX($C$8:$AL$8,AG$2-Inputs!$E$12),0)</f>
        <v>0</v>
      </c>
      <c r="AH9" s="21" t="n">
        <f aca="false">IF(AH$2-Inputs!$E$12&gt;=1,INDEX($C$8:$AL$8,AH$2-Inputs!$E$12),0)</f>
        <v>1</v>
      </c>
      <c r="AI9" s="21" t="n">
        <f aca="false">IF(AI$2-Inputs!$E$12&gt;=1,INDEX($C$8:$AL$8,AI$2-Inputs!$E$12),0)</f>
        <v>1</v>
      </c>
      <c r="AJ9" s="21" t="n">
        <f aca="false">IF(AJ$2-Inputs!$E$12&gt;=1,INDEX($C$8:$AL$8,AJ$2-Inputs!$E$12),0)</f>
        <v>1</v>
      </c>
      <c r="AK9" s="21" t="n">
        <f aca="false">IF(AK$2-Inputs!$E$12&gt;=1,INDEX($C$8:$AL$8,AK$2-Inputs!$E$12),0)</f>
        <v>1</v>
      </c>
      <c r="AL9" s="21" t="n">
        <f aca="false">IF(AL$2-Inputs!$E$12&gt;=1,INDEX($C$8:$AL$8,AL$2-Inputs!$E$12),0)</f>
        <v>1</v>
      </c>
    </row>
    <row r="10" customFormat="false" ht="15" hidden="false" customHeight="false" outlineLevel="0" collapsed="false">
      <c r="A10" s="2" t="s">
        <v>196</v>
      </c>
      <c r="B10" s="4"/>
      <c r="C10" s="21" t="n">
        <f aca="false">IF(C$2=Inputs!$E$6+Inputs!$E$12,1,0)</f>
        <v>0</v>
      </c>
      <c r="D10" s="21" t="n">
        <f aca="false">IF(D$2=Inputs!$E$6+Inputs!$E$12,1,0)</f>
        <v>0</v>
      </c>
      <c r="E10" s="21" t="n">
        <f aca="false">IF(E$2=Inputs!$E$6+Inputs!$E$12,1,0)</f>
        <v>1</v>
      </c>
      <c r="F10" s="21" t="n">
        <f aca="false">IF(F$2=Inputs!$E$6+Inputs!$E$12,1,0)</f>
        <v>0</v>
      </c>
      <c r="G10" s="21" t="n">
        <f aca="false">IF(G$2=Inputs!$E$6+Inputs!$E$12,1,0)</f>
        <v>0</v>
      </c>
      <c r="H10" s="21" t="n">
        <f aca="false">IF(H$2=Inputs!$E$6+Inputs!$E$12,1,0)</f>
        <v>0</v>
      </c>
      <c r="I10" s="21" t="n">
        <f aca="false">IF(I$2=Inputs!$E$6+Inputs!$E$12,1,0)</f>
        <v>0</v>
      </c>
      <c r="J10" s="21" t="n">
        <f aca="false">IF(J$2=Inputs!$E$6+Inputs!$E$12,1,0)</f>
        <v>0</v>
      </c>
      <c r="K10" s="21" t="n">
        <f aca="false">IF(K$2=Inputs!$E$6+Inputs!$E$12,1,0)</f>
        <v>0</v>
      </c>
      <c r="L10" s="21" t="n">
        <f aca="false">IF(L$2=Inputs!$E$6+Inputs!$E$12,1,0)</f>
        <v>0</v>
      </c>
      <c r="M10" s="21" t="n">
        <f aca="false">IF(M$2=Inputs!$E$6+Inputs!$E$12,1,0)</f>
        <v>0</v>
      </c>
      <c r="N10" s="21" t="n">
        <f aca="false">IF(N$2=Inputs!$E$6+Inputs!$E$12,1,0)</f>
        <v>0</v>
      </c>
      <c r="O10" s="21" t="n">
        <f aca="false">IF(O$2=Inputs!$E$6+Inputs!$E$12,1,0)</f>
        <v>0</v>
      </c>
      <c r="P10" s="21" t="n">
        <f aca="false">IF(P$2=Inputs!$E$6+Inputs!$E$12,1,0)</f>
        <v>0</v>
      </c>
      <c r="Q10" s="21" t="n">
        <f aca="false">IF(Q$2=Inputs!$E$6+Inputs!$E$12,1,0)</f>
        <v>0</v>
      </c>
      <c r="R10" s="21" t="n">
        <f aca="false">IF(R$2=Inputs!$E$6+Inputs!$E$12,1,0)</f>
        <v>0</v>
      </c>
      <c r="S10" s="21" t="n">
        <f aca="false">IF(S$2=Inputs!$E$6+Inputs!$E$12,1,0)</f>
        <v>0</v>
      </c>
      <c r="T10" s="21" t="n">
        <f aca="false">IF(T$2=Inputs!$E$6+Inputs!$E$12,1,0)</f>
        <v>0</v>
      </c>
      <c r="U10" s="21" t="n">
        <f aca="false">IF(U$2=Inputs!$E$6+Inputs!$E$12,1,0)</f>
        <v>0</v>
      </c>
      <c r="V10" s="21" t="n">
        <f aca="false">IF(V$2=Inputs!$E$6+Inputs!$E$12,1,0)</f>
        <v>0</v>
      </c>
      <c r="W10" s="21" t="n">
        <f aca="false">IF(W$2=Inputs!$E$6+Inputs!$E$12,1,0)</f>
        <v>0</v>
      </c>
      <c r="X10" s="21" t="n">
        <f aca="false">IF(X$2=Inputs!$E$6+Inputs!$E$12,1,0)</f>
        <v>0</v>
      </c>
      <c r="Y10" s="21" t="n">
        <f aca="false">IF(Y$2=Inputs!$E$6+Inputs!$E$12,1,0)</f>
        <v>0</v>
      </c>
      <c r="Z10" s="21" t="n">
        <f aca="false">IF(Z$2=Inputs!$E$6+Inputs!$E$12,1,0)</f>
        <v>0</v>
      </c>
      <c r="AA10" s="21" t="n">
        <f aca="false">IF(AA$2=Inputs!$E$6+Inputs!$E$12,1,0)</f>
        <v>0</v>
      </c>
      <c r="AB10" s="21" t="n">
        <f aca="false">IF(AB$2=Inputs!$E$6+Inputs!$E$12,1,0)</f>
        <v>0</v>
      </c>
      <c r="AC10" s="21" t="n">
        <f aca="false">IF(AC$2=Inputs!$E$6+Inputs!$E$12,1,0)</f>
        <v>0</v>
      </c>
      <c r="AD10" s="21" t="n">
        <f aca="false">IF(AD$2=Inputs!$E$6+Inputs!$E$12,1,0)</f>
        <v>0</v>
      </c>
      <c r="AE10" s="21" t="n">
        <f aca="false">IF(AE$2=Inputs!$E$6+Inputs!$E$12,1,0)</f>
        <v>0</v>
      </c>
      <c r="AF10" s="21" t="n">
        <f aca="false">IF(AF$2=Inputs!$E$6+Inputs!$E$12,1,0)</f>
        <v>0</v>
      </c>
      <c r="AG10" s="21" t="n">
        <f aca="false">IF(AG$2=Inputs!$E$6+Inputs!$E$12,1,0)</f>
        <v>0</v>
      </c>
      <c r="AH10" s="21" t="n">
        <f aca="false">IF(AH$2=Inputs!$E$6+Inputs!$E$12,1,0)</f>
        <v>0</v>
      </c>
      <c r="AI10" s="21" t="n">
        <f aca="false">IF(AI$2=Inputs!$E$6+Inputs!$E$12,1,0)</f>
        <v>0</v>
      </c>
      <c r="AJ10" s="21" t="n">
        <f aca="false">IF(AJ$2=Inputs!$E$6+Inputs!$E$12,1,0)</f>
        <v>0</v>
      </c>
      <c r="AK10" s="21" t="n">
        <f aca="false">IF(AK$2=Inputs!$E$6+Inputs!$E$12,1,0)</f>
        <v>0</v>
      </c>
      <c r="AL10" s="21" t="n">
        <f aca="false">IF(AL$2=Inputs!$E$6+Inputs!$E$12,1,0)</f>
        <v>0</v>
      </c>
    </row>
    <row r="11" customFormat="false" ht="15" hidden="false" customHeight="false" outlineLevel="0" collapsed="false">
      <c r="A11" s="2" t="s">
        <v>197</v>
      </c>
      <c r="B11" s="4"/>
      <c r="C11" s="21" t="n">
        <f aca="false">0+C9+C10</f>
        <v>0</v>
      </c>
      <c r="D11" s="21" t="n">
        <f aca="false">C11+D9+D10</f>
        <v>0</v>
      </c>
      <c r="E11" s="21" t="n">
        <f aca="false">D11+E9+E10</f>
        <v>1</v>
      </c>
      <c r="F11" s="21" t="n">
        <f aca="false">E11+F9+F10</f>
        <v>1</v>
      </c>
      <c r="G11" s="21" t="n">
        <f aca="false">F11+G9+G10</f>
        <v>1</v>
      </c>
      <c r="H11" s="21" t="n">
        <f aca="false">G11+H9+H10</f>
        <v>1</v>
      </c>
      <c r="I11" s="21" t="n">
        <f aca="false">H11+I9+I10</f>
        <v>1</v>
      </c>
      <c r="J11" s="21" t="n">
        <f aca="false">I11+J9+J10</f>
        <v>2</v>
      </c>
      <c r="K11" s="21" t="n">
        <f aca="false">J11+K9+K10</f>
        <v>2</v>
      </c>
      <c r="L11" s="21" t="n">
        <f aca="false">K11+L9+L10</f>
        <v>3</v>
      </c>
      <c r="M11" s="21" t="n">
        <f aca="false">L11+M9+M10</f>
        <v>3</v>
      </c>
      <c r="N11" s="21" t="n">
        <f aca="false">M11+N9+N10</f>
        <v>4</v>
      </c>
      <c r="O11" s="21" t="n">
        <f aca="false">N11+O9+O10</f>
        <v>4</v>
      </c>
      <c r="P11" s="21" t="n">
        <f aca="false">O11+P9+P10</f>
        <v>4</v>
      </c>
      <c r="Q11" s="21" t="n">
        <f aca="false">P11+Q9+Q10</f>
        <v>5</v>
      </c>
      <c r="R11" s="21" t="n">
        <f aca="false">Q11+R9+R10</f>
        <v>6</v>
      </c>
      <c r="S11" s="21" t="n">
        <f aca="false">R11+S9+S10</f>
        <v>6</v>
      </c>
      <c r="T11" s="21" t="n">
        <f aca="false">S11+T9+T10</f>
        <v>7</v>
      </c>
      <c r="U11" s="21" t="n">
        <f aca="false">T11+U9+U10</f>
        <v>7</v>
      </c>
      <c r="V11" s="21" t="n">
        <f aca="false">U11+V9+V10</f>
        <v>8</v>
      </c>
      <c r="W11" s="21" t="n">
        <f aca="false">V11+W9+W10</f>
        <v>8</v>
      </c>
      <c r="X11" s="21" t="n">
        <f aca="false">W11+X9+X10</f>
        <v>9</v>
      </c>
      <c r="Y11" s="21" t="n">
        <f aca="false">X11+Y9+Y10</f>
        <v>10</v>
      </c>
      <c r="Z11" s="21" t="n">
        <f aca="false">Y11+Z9+Z10</f>
        <v>10</v>
      </c>
      <c r="AA11" s="21" t="n">
        <f aca="false">Z11+AA9+AA10</f>
        <v>11</v>
      </c>
      <c r="AB11" s="21" t="n">
        <f aca="false">AA11+AB9+AB10</f>
        <v>11</v>
      </c>
      <c r="AC11" s="21" t="n">
        <f aca="false">AB11+AC9+AC10</f>
        <v>12</v>
      </c>
      <c r="AD11" s="21" t="n">
        <f aca="false">AC11+AD9+AD10</f>
        <v>13</v>
      </c>
      <c r="AE11" s="21" t="n">
        <f aca="false">AD11+AE9+AE10</f>
        <v>13</v>
      </c>
      <c r="AF11" s="21" t="n">
        <f aca="false">AE11+AF9+AF10</f>
        <v>14</v>
      </c>
      <c r="AG11" s="21" t="n">
        <f aca="false">AF11+AG9+AG10</f>
        <v>14</v>
      </c>
      <c r="AH11" s="21" t="n">
        <f aca="false">AG11+AH9+AH10</f>
        <v>15</v>
      </c>
      <c r="AI11" s="21" t="n">
        <f aca="false">AH11+AI9+AI10</f>
        <v>16</v>
      </c>
      <c r="AJ11" s="21" t="n">
        <f aca="false">AI11+AJ9+AJ10</f>
        <v>17</v>
      </c>
      <c r="AK11" s="21" t="n">
        <f aca="false">AJ11+AK9+AK10</f>
        <v>18</v>
      </c>
      <c r="AL11" s="21" t="n">
        <f aca="false">AK11+AL9+AL10</f>
        <v>19</v>
      </c>
    </row>
    <row r="12" customFormat="false" ht="15" hidden="false" customHeight="false" outlineLevel="0" collapsed="false">
      <c r="A12" s="2" t="s">
        <v>198</v>
      </c>
      <c r="B12" s="4"/>
      <c r="C12" s="24" t="n">
        <f aca="false">0+0</f>
        <v>0</v>
      </c>
      <c r="D12" s="24" t="n">
        <f aca="false">C12+C9</f>
        <v>0</v>
      </c>
      <c r="E12" s="24" t="n">
        <f aca="false">D12+D9</f>
        <v>0</v>
      </c>
      <c r="F12" s="24" t="n">
        <f aca="false">E12+E9</f>
        <v>0</v>
      </c>
      <c r="G12" s="24" t="n">
        <f aca="false">F12+F9</f>
        <v>0</v>
      </c>
      <c r="H12" s="24" t="n">
        <f aca="false">G12+G9</f>
        <v>0</v>
      </c>
      <c r="I12" s="24" t="n">
        <f aca="false">H12+H9</f>
        <v>0</v>
      </c>
      <c r="J12" s="24" t="n">
        <f aca="false">I12+I9</f>
        <v>0</v>
      </c>
      <c r="K12" s="24" t="n">
        <f aca="false">J12+J9</f>
        <v>1</v>
      </c>
      <c r="L12" s="24" t="n">
        <f aca="false">K12+K9</f>
        <v>1</v>
      </c>
      <c r="M12" s="24" t="n">
        <f aca="false">L12+L9</f>
        <v>2</v>
      </c>
      <c r="N12" s="24" t="n">
        <f aca="false">M12+M9</f>
        <v>2</v>
      </c>
      <c r="O12" s="24" t="n">
        <f aca="false">N12+N9</f>
        <v>3</v>
      </c>
      <c r="P12" s="24" t="n">
        <f aca="false">O12+O9</f>
        <v>3</v>
      </c>
      <c r="Q12" s="24" t="n">
        <f aca="false">P12+P9</f>
        <v>3</v>
      </c>
      <c r="R12" s="24" t="n">
        <f aca="false">Q12+Q9</f>
        <v>4</v>
      </c>
      <c r="S12" s="24" t="n">
        <f aca="false">R12+R9</f>
        <v>5</v>
      </c>
      <c r="T12" s="24" t="n">
        <f aca="false">S12+S9</f>
        <v>5</v>
      </c>
      <c r="U12" s="24" t="n">
        <f aca="false">T12+T9</f>
        <v>6</v>
      </c>
      <c r="V12" s="24" t="n">
        <f aca="false">U12+U9</f>
        <v>6</v>
      </c>
      <c r="W12" s="24" t="n">
        <f aca="false">V12+V9</f>
        <v>7</v>
      </c>
      <c r="X12" s="24" t="n">
        <f aca="false">W12+W9</f>
        <v>7</v>
      </c>
      <c r="Y12" s="24" t="n">
        <f aca="false">X12+X9</f>
        <v>8</v>
      </c>
      <c r="Z12" s="24" t="n">
        <f aca="false">Y12+Y9</f>
        <v>9</v>
      </c>
      <c r="AA12" s="24" t="n">
        <f aca="false">Z12+Z9</f>
        <v>9</v>
      </c>
      <c r="AB12" s="24" t="n">
        <f aca="false">AA12+AA9</f>
        <v>10</v>
      </c>
      <c r="AC12" s="24" t="n">
        <f aca="false">AB12+AB9</f>
        <v>10</v>
      </c>
      <c r="AD12" s="24" t="n">
        <f aca="false">AC12+AC9</f>
        <v>11</v>
      </c>
      <c r="AE12" s="24" t="n">
        <f aca="false">AD12+AD9</f>
        <v>12</v>
      </c>
      <c r="AF12" s="24" t="n">
        <f aca="false">AE12+AE9</f>
        <v>12</v>
      </c>
      <c r="AG12" s="24" t="n">
        <f aca="false">AF12+AF9</f>
        <v>13</v>
      </c>
      <c r="AH12" s="24" t="n">
        <f aca="false">AG12+AG9</f>
        <v>13</v>
      </c>
      <c r="AI12" s="24" t="n">
        <f aca="false">AH12+AH9</f>
        <v>14</v>
      </c>
      <c r="AJ12" s="24" t="n">
        <f aca="false">AI12+AI9</f>
        <v>15</v>
      </c>
      <c r="AK12" s="24" t="n">
        <f aca="false">AJ12+AJ9</f>
        <v>16</v>
      </c>
      <c r="AL12" s="24" t="n">
        <f aca="false">AK12+AK9</f>
        <v>17</v>
      </c>
    </row>
    <row r="13" customFormat="false" ht="15" hidden="false" customHeight="false" outlineLevel="0" collapsed="false">
      <c r="A13" s="2" t="s">
        <v>199</v>
      </c>
      <c r="B13" s="4"/>
      <c r="C13" s="21" t="n">
        <f aca="false">IF(C$2&gt;Inputs!$E$6+Inputs!$E$12,1,0)</f>
        <v>0</v>
      </c>
      <c r="D13" s="21" t="n">
        <f aca="false">IF(D$2&gt;Inputs!$E$6+Inputs!$E$12,1,0)</f>
        <v>0</v>
      </c>
      <c r="E13" s="21" t="n">
        <f aca="false">IF(E$2&gt;Inputs!$E$6+Inputs!$E$12,1,0)</f>
        <v>0</v>
      </c>
      <c r="F13" s="21" t="n">
        <f aca="false">IF(F$2&gt;Inputs!$E$6+Inputs!$E$12,1,0)</f>
        <v>1</v>
      </c>
      <c r="G13" s="21" t="n">
        <f aca="false">IF(G$2&gt;Inputs!$E$6+Inputs!$E$12,1,0)</f>
        <v>1</v>
      </c>
      <c r="H13" s="21" t="n">
        <f aca="false">IF(H$2&gt;Inputs!$E$6+Inputs!$E$12,1,0)</f>
        <v>1</v>
      </c>
      <c r="I13" s="21" t="n">
        <f aca="false">IF(I$2&gt;Inputs!$E$6+Inputs!$E$12,1,0)</f>
        <v>1</v>
      </c>
      <c r="J13" s="21" t="n">
        <f aca="false">IF(J$2&gt;Inputs!$E$6+Inputs!$E$12,1,0)</f>
        <v>1</v>
      </c>
      <c r="K13" s="21" t="n">
        <f aca="false">IF(K$2&gt;Inputs!$E$6+Inputs!$E$12,1,0)</f>
        <v>1</v>
      </c>
      <c r="L13" s="21" t="n">
        <f aca="false">IF(L$2&gt;Inputs!$E$6+Inputs!$E$12,1,0)</f>
        <v>1</v>
      </c>
      <c r="M13" s="21" t="n">
        <f aca="false">IF(M$2&gt;Inputs!$E$6+Inputs!$E$12,1,0)</f>
        <v>1</v>
      </c>
      <c r="N13" s="21" t="n">
        <f aca="false">IF(N$2&gt;Inputs!$E$6+Inputs!$E$12,1,0)</f>
        <v>1</v>
      </c>
      <c r="O13" s="21" t="n">
        <f aca="false">IF(O$2&gt;Inputs!$E$6+Inputs!$E$12,1,0)</f>
        <v>1</v>
      </c>
      <c r="P13" s="21" t="n">
        <f aca="false">IF(P$2&gt;Inputs!$E$6+Inputs!$E$12,1,0)</f>
        <v>1</v>
      </c>
      <c r="Q13" s="21" t="n">
        <f aca="false">IF(Q$2&gt;Inputs!$E$6+Inputs!$E$12,1,0)</f>
        <v>1</v>
      </c>
      <c r="R13" s="21" t="n">
        <f aca="false">IF(R$2&gt;Inputs!$E$6+Inputs!$E$12,1,0)</f>
        <v>1</v>
      </c>
      <c r="S13" s="21" t="n">
        <f aca="false">IF(S$2&gt;Inputs!$E$6+Inputs!$E$12,1,0)</f>
        <v>1</v>
      </c>
      <c r="T13" s="21" t="n">
        <f aca="false">IF(T$2&gt;Inputs!$E$6+Inputs!$E$12,1,0)</f>
        <v>1</v>
      </c>
      <c r="U13" s="21" t="n">
        <f aca="false">IF(U$2&gt;Inputs!$E$6+Inputs!$E$12,1,0)</f>
        <v>1</v>
      </c>
      <c r="V13" s="21" t="n">
        <f aca="false">IF(V$2&gt;Inputs!$E$6+Inputs!$E$12,1,0)</f>
        <v>1</v>
      </c>
      <c r="W13" s="21" t="n">
        <f aca="false">IF(W$2&gt;Inputs!$E$6+Inputs!$E$12,1,0)</f>
        <v>1</v>
      </c>
      <c r="X13" s="21" t="n">
        <f aca="false">IF(X$2&gt;Inputs!$E$6+Inputs!$E$12,1,0)</f>
        <v>1</v>
      </c>
      <c r="Y13" s="21" t="n">
        <f aca="false">IF(Y$2&gt;Inputs!$E$6+Inputs!$E$12,1,0)</f>
        <v>1</v>
      </c>
      <c r="Z13" s="21" t="n">
        <f aca="false">IF(Z$2&gt;Inputs!$E$6+Inputs!$E$12,1,0)</f>
        <v>1</v>
      </c>
      <c r="AA13" s="21" t="n">
        <f aca="false">IF(AA$2&gt;Inputs!$E$6+Inputs!$E$12,1,0)</f>
        <v>1</v>
      </c>
      <c r="AB13" s="21" t="n">
        <f aca="false">IF(AB$2&gt;Inputs!$E$6+Inputs!$E$12,1,0)</f>
        <v>1</v>
      </c>
      <c r="AC13" s="21" t="n">
        <f aca="false">IF(AC$2&gt;Inputs!$E$6+Inputs!$E$12,1,0)</f>
        <v>1</v>
      </c>
      <c r="AD13" s="21" t="n">
        <f aca="false">IF(AD$2&gt;Inputs!$E$6+Inputs!$E$12,1,0)</f>
        <v>1</v>
      </c>
      <c r="AE13" s="21" t="n">
        <f aca="false">IF(AE$2&gt;Inputs!$E$6+Inputs!$E$12,1,0)</f>
        <v>1</v>
      </c>
      <c r="AF13" s="21" t="n">
        <f aca="false">IF(AF$2&gt;Inputs!$E$6+Inputs!$E$12,1,0)</f>
        <v>1</v>
      </c>
      <c r="AG13" s="21" t="n">
        <f aca="false">IF(AG$2&gt;Inputs!$E$6+Inputs!$E$12,1,0)</f>
        <v>1</v>
      </c>
      <c r="AH13" s="21" t="n">
        <f aca="false">IF(AH$2&gt;Inputs!$E$6+Inputs!$E$12,1,0)</f>
        <v>1</v>
      </c>
      <c r="AI13" s="21" t="n">
        <f aca="false">IF(AI$2&gt;Inputs!$E$6+Inputs!$E$12,1,0)</f>
        <v>1</v>
      </c>
      <c r="AJ13" s="21" t="n">
        <f aca="false">IF(AJ$2&gt;Inputs!$E$6+Inputs!$E$12,1,0)</f>
        <v>1</v>
      </c>
      <c r="AK13" s="21" t="n">
        <f aca="false">IF(AK$2&gt;Inputs!$E$6+Inputs!$E$12,1,0)</f>
        <v>1</v>
      </c>
      <c r="AL13" s="21" t="n">
        <f aca="false">IF(AL$2&gt;Inputs!$E$6+Inputs!$E$12,1,0)</f>
        <v>1</v>
      </c>
    </row>
    <row r="14" customFormat="false" ht="15" hidden="false" customHeight="false" outlineLevel="0" collapsed="false">
      <c r="A14" s="2" t="s">
        <v>200</v>
      </c>
      <c r="B14" s="4"/>
      <c r="C14" s="21" t="n">
        <f aca="false">IF(C$2-Inputs!$E$16&gt;=1,INDEX($C$11:$AL$11,C$2-Inputs!$E$16),0)</f>
        <v>0</v>
      </c>
      <c r="D14" s="21" t="n">
        <f aca="false">IF(D$2-Inputs!$E$16&gt;=1,INDEX($C$11:$AL$11,D$2-Inputs!$E$16),0)</f>
        <v>0</v>
      </c>
      <c r="E14" s="21" t="n">
        <f aca="false">IF(E$2-Inputs!$E$16&gt;=1,INDEX($C$11:$AL$11,E$2-Inputs!$E$16),0)</f>
        <v>0</v>
      </c>
      <c r="F14" s="21" t="n">
        <f aca="false">IF(F$2-Inputs!$E$16&gt;=1,INDEX($C$11:$AL$11,F$2-Inputs!$E$16),0)</f>
        <v>0</v>
      </c>
      <c r="G14" s="21" t="n">
        <f aca="false">IF(G$2-Inputs!$E$16&gt;=1,INDEX($C$11:$AL$11,G$2-Inputs!$E$16),0)</f>
        <v>0</v>
      </c>
      <c r="H14" s="21" t="n">
        <f aca="false">IF(H$2-Inputs!$E$16&gt;=1,INDEX($C$11:$AL$11,H$2-Inputs!$E$16),0)</f>
        <v>1</v>
      </c>
      <c r="I14" s="21" t="n">
        <f aca="false">IF(I$2-Inputs!$E$16&gt;=1,INDEX($C$11:$AL$11,I$2-Inputs!$E$16),0)</f>
        <v>1</v>
      </c>
      <c r="J14" s="21" t="n">
        <f aca="false">IF(J$2-Inputs!$E$16&gt;=1,INDEX($C$11:$AL$11,J$2-Inputs!$E$16),0)</f>
        <v>1</v>
      </c>
      <c r="K14" s="21" t="n">
        <f aca="false">IF(K$2-Inputs!$E$16&gt;=1,INDEX($C$11:$AL$11,K$2-Inputs!$E$16),0)</f>
        <v>1</v>
      </c>
      <c r="L14" s="21" t="n">
        <f aca="false">IF(L$2-Inputs!$E$16&gt;=1,INDEX($C$11:$AL$11,L$2-Inputs!$E$16),0)</f>
        <v>1</v>
      </c>
      <c r="M14" s="21" t="n">
        <f aca="false">IF(M$2-Inputs!$E$16&gt;=1,INDEX($C$11:$AL$11,M$2-Inputs!$E$16),0)</f>
        <v>2</v>
      </c>
      <c r="N14" s="21" t="n">
        <f aca="false">IF(N$2-Inputs!$E$16&gt;=1,INDEX($C$11:$AL$11,N$2-Inputs!$E$16),0)</f>
        <v>2</v>
      </c>
      <c r="O14" s="21" t="n">
        <f aca="false">IF(O$2-Inputs!$E$16&gt;=1,INDEX($C$11:$AL$11,O$2-Inputs!$E$16),0)</f>
        <v>3</v>
      </c>
      <c r="P14" s="21" t="n">
        <f aca="false">IF(P$2-Inputs!$E$16&gt;=1,INDEX($C$11:$AL$11,P$2-Inputs!$E$16),0)</f>
        <v>3</v>
      </c>
      <c r="Q14" s="21" t="n">
        <f aca="false">IF(Q$2-Inputs!$E$16&gt;=1,INDEX($C$11:$AL$11,Q$2-Inputs!$E$16),0)</f>
        <v>4</v>
      </c>
      <c r="R14" s="21" t="n">
        <f aca="false">IF(R$2-Inputs!$E$16&gt;=1,INDEX($C$11:$AL$11,R$2-Inputs!$E$16),0)</f>
        <v>4</v>
      </c>
      <c r="S14" s="21" t="n">
        <f aca="false">IF(S$2-Inputs!$E$16&gt;=1,INDEX($C$11:$AL$11,S$2-Inputs!$E$16),0)</f>
        <v>4</v>
      </c>
      <c r="T14" s="21" t="n">
        <f aca="false">IF(T$2-Inputs!$E$16&gt;=1,INDEX($C$11:$AL$11,T$2-Inputs!$E$16),0)</f>
        <v>5</v>
      </c>
      <c r="U14" s="21" t="n">
        <f aca="false">IF(U$2-Inputs!$E$16&gt;=1,INDEX($C$11:$AL$11,U$2-Inputs!$E$16),0)</f>
        <v>6</v>
      </c>
      <c r="V14" s="21" t="n">
        <f aca="false">IF(V$2-Inputs!$E$16&gt;=1,INDEX($C$11:$AL$11,V$2-Inputs!$E$16),0)</f>
        <v>6</v>
      </c>
      <c r="W14" s="21" t="n">
        <f aca="false">IF(W$2-Inputs!$E$16&gt;=1,INDEX($C$11:$AL$11,W$2-Inputs!$E$16),0)</f>
        <v>7</v>
      </c>
      <c r="X14" s="21" t="n">
        <f aca="false">IF(X$2-Inputs!$E$16&gt;=1,INDEX($C$11:$AL$11,X$2-Inputs!$E$16),0)</f>
        <v>7</v>
      </c>
      <c r="Y14" s="21" t="n">
        <f aca="false">IF(Y$2-Inputs!$E$16&gt;=1,INDEX($C$11:$AL$11,Y$2-Inputs!$E$16),0)</f>
        <v>8</v>
      </c>
      <c r="Z14" s="21" t="n">
        <f aca="false">IF(Z$2-Inputs!$E$16&gt;=1,INDEX($C$11:$AL$11,Z$2-Inputs!$E$16),0)</f>
        <v>8</v>
      </c>
      <c r="AA14" s="21" t="n">
        <f aca="false">IF(AA$2-Inputs!$E$16&gt;=1,INDEX($C$11:$AL$11,AA$2-Inputs!$E$16),0)</f>
        <v>9</v>
      </c>
      <c r="AB14" s="21" t="n">
        <f aca="false">IF(AB$2-Inputs!$E$16&gt;=1,INDEX($C$11:$AL$11,AB$2-Inputs!$E$16),0)</f>
        <v>10</v>
      </c>
      <c r="AC14" s="21" t="n">
        <f aca="false">IF(AC$2-Inputs!$E$16&gt;=1,INDEX($C$11:$AL$11,AC$2-Inputs!$E$16),0)</f>
        <v>10</v>
      </c>
      <c r="AD14" s="21" t="n">
        <f aca="false">IF(AD$2-Inputs!$E$16&gt;=1,INDEX($C$11:$AL$11,AD$2-Inputs!$E$16),0)</f>
        <v>11</v>
      </c>
      <c r="AE14" s="21" t="n">
        <f aca="false">IF(AE$2-Inputs!$E$16&gt;=1,INDEX($C$11:$AL$11,AE$2-Inputs!$E$16),0)</f>
        <v>11</v>
      </c>
      <c r="AF14" s="21" t="n">
        <f aca="false">IF(AF$2-Inputs!$E$16&gt;=1,INDEX($C$11:$AL$11,AF$2-Inputs!$E$16),0)</f>
        <v>12</v>
      </c>
      <c r="AG14" s="21" t="n">
        <f aca="false">IF(AG$2-Inputs!$E$16&gt;=1,INDEX($C$11:$AL$11,AG$2-Inputs!$E$16),0)</f>
        <v>13</v>
      </c>
      <c r="AH14" s="21" t="n">
        <f aca="false">IF(AH$2-Inputs!$E$16&gt;=1,INDEX($C$11:$AL$11,AH$2-Inputs!$E$16),0)</f>
        <v>13</v>
      </c>
      <c r="AI14" s="21" t="n">
        <f aca="false">IF(AI$2-Inputs!$E$16&gt;=1,INDEX($C$11:$AL$11,AI$2-Inputs!$E$16),0)</f>
        <v>14</v>
      </c>
      <c r="AJ14" s="21" t="n">
        <f aca="false">IF(AJ$2-Inputs!$E$16&gt;=1,INDEX($C$11:$AL$11,AJ$2-Inputs!$E$16),0)</f>
        <v>14</v>
      </c>
      <c r="AK14" s="21" t="n">
        <f aca="false">IF(AK$2-Inputs!$E$16&gt;=1,INDEX($C$11:$AL$11,AK$2-Inputs!$E$16),0)</f>
        <v>15</v>
      </c>
      <c r="AL14" s="21" t="n">
        <f aca="false">IF(AL$2-Inputs!$E$16&gt;=1,INDEX($C$11:$AL$11,AL$2-Inputs!$E$16),0)</f>
        <v>16</v>
      </c>
    </row>
    <row r="15" customFormat="false" ht="15" hidden="false" customHeight="false" outlineLevel="0" collapsed="false">
      <c r="A15" s="2" t="s">
        <v>201</v>
      </c>
      <c r="B15" s="4"/>
      <c r="C15" s="9" t="n">
        <f aca="false">Schedules!C17</f>
        <v>0</v>
      </c>
      <c r="D15" s="9" t="n">
        <f aca="false">Schedules!D17</f>
        <v>1</v>
      </c>
      <c r="E15" s="9" t="n">
        <f aca="false">Schedules!E17</f>
        <v>1</v>
      </c>
      <c r="F15" s="9" t="n">
        <f aca="false">Schedules!F17</f>
        <v>0</v>
      </c>
      <c r="G15" s="9" t="n">
        <f aca="false">Schedules!G17</f>
        <v>1</v>
      </c>
      <c r="H15" s="9" t="n">
        <f aca="false">Schedules!H17</f>
        <v>0</v>
      </c>
      <c r="I15" s="9" t="n">
        <f aca="false">Schedules!I17</f>
        <v>1</v>
      </c>
      <c r="J15" s="9" t="n">
        <f aca="false">Schedules!J17</f>
        <v>0</v>
      </c>
      <c r="K15" s="9" t="n">
        <f aca="false">Schedules!K17</f>
        <v>1</v>
      </c>
      <c r="L15" s="9" t="n">
        <f aca="false">Schedules!L17</f>
        <v>0</v>
      </c>
      <c r="M15" s="9" t="n">
        <f aca="false">Schedules!M17</f>
        <v>1</v>
      </c>
      <c r="N15" s="9" t="n">
        <f aca="false">Schedules!N17</f>
        <v>0</v>
      </c>
      <c r="O15" s="9" t="n">
        <f aca="false">Schedules!O17</f>
        <v>1</v>
      </c>
      <c r="P15" s="9" t="n">
        <f aca="false">Schedules!P17</f>
        <v>1</v>
      </c>
      <c r="Q15" s="9" t="n">
        <f aca="false">Schedules!Q17</f>
        <v>1</v>
      </c>
      <c r="R15" s="9" t="n">
        <f aca="false">Schedules!R17</f>
        <v>1</v>
      </c>
      <c r="S15" s="9" t="n">
        <f aca="false">Schedules!S17</f>
        <v>1</v>
      </c>
      <c r="T15" s="9" t="n">
        <f aca="false">Schedules!T17</f>
        <v>0</v>
      </c>
      <c r="U15" s="9" t="n">
        <f aca="false">Schedules!U17</f>
        <v>1</v>
      </c>
      <c r="V15" s="9" t="n">
        <f aca="false">Schedules!V17</f>
        <v>0</v>
      </c>
      <c r="W15" s="9" t="n">
        <f aca="false">Schedules!W17</f>
        <v>1</v>
      </c>
      <c r="X15" s="9" t="n">
        <f aca="false">Schedules!X17</f>
        <v>0</v>
      </c>
      <c r="Y15" s="9" t="n">
        <f aca="false">Schedules!Y17</f>
        <v>1</v>
      </c>
      <c r="Z15" s="9" t="n">
        <f aca="false">Schedules!Z17</f>
        <v>0</v>
      </c>
      <c r="AA15" s="9" t="n">
        <f aca="false">Schedules!AA17</f>
        <v>1</v>
      </c>
      <c r="AB15" s="9" t="n">
        <f aca="false">Schedules!AB17</f>
        <v>0</v>
      </c>
      <c r="AC15" s="9" t="n">
        <f aca="false">Schedules!AC17</f>
        <v>1</v>
      </c>
      <c r="AD15" s="9" t="n">
        <f aca="false">Schedules!AD17</f>
        <v>0</v>
      </c>
      <c r="AE15" s="9" t="n">
        <f aca="false">Schedules!AE17</f>
        <v>1</v>
      </c>
      <c r="AF15" s="9" t="n">
        <f aca="false">Schedules!AF17</f>
        <v>0</v>
      </c>
      <c r="AG15" s="9" t="n">
        <f aca="false">Schedules!AG17</f>
        <v>1</v>
      </c>
      <c r="AH15" s="9" t="n">
        <f aca="false">Schedules!AH17</f>
        <v>0</v>
      </c>
      <c r="AI15" s="9" t="n">
        <f aca="false">Schedules!AI17</f>
        <v>0</v>
      </c>
      <c r="AJ15" s="9" t="n">
        <f aca="false">Schedules!AJ17</f>
        <v>0</v>
      </c>
      <c r="AK15" s="9" t="n">
        <f aca="false">Schedules!AK17</f>
        <v>0</v>
      </c>
      <c r="AL15" s="9" t="n">
        <f aca="false">Schedules!AL17</f>
        <v>0</v>
      </c>
    </row>
    <row r="16" customFormat="false" ht="15" hidden="false" customHeight="false" outlineLevel="0" collapsed="false">
      <c r="A16" s="2" t="s">
        <v>202</v>
      </c>
      <c r="B16" s="4"/>
      <c r="C16" s="21" t="n">
        <f aca="false">0+0</f>
        <v>0</v>
      </c>
      <c r="D16" s="21" t="n">
        <f aca="false">C16+C15</f>
        <v>0</v>
      </c>
      <c r="E16" s="21" t="n">
        <f aca="false">D16+D15</f>
        <v>1</v>
      </c>
      <c r="F16" s="21" t="n">
        <f aca="false">E16+E15</f>
        <v>2</v>
      </c>
      <c r="G16" s="21" t="n">
        <f aca="false">F16+F15</f>
        <v>2</v>
      </c>
      <c r="H16" s="21" t="n">
        <f aca="false">G16+G15</f>
        <v>3</v>
      </c>
      <c r="I16" s="21" t="n">
        <f aca="false">H16+H15</f>
        <v>3</v>
      </c>
      <c r="J16" s="21" t="n">
        <f aca="false">I16+I15</f>
        <v>4</v>
      </c>
      <c r="K16" s="21" t="n">
        <f aca="false">J16+J15</f>
        <v>4</v>
      </c>
      <c r="L16" s="21" t="n">
        <f aca="false">K16+K15</f>
        <v>5</v>
      </c>
      <c r="M16" s="21" t="n">
        <f aca="false">L16+L15</f>
        <v>5</v>
      </c>
      <c r="N16" s="21" t="n">
        <f aca="false">M16+M15</f>
        <v>6</v>
      </c>
      <c r="O16" s="21" t="n">
        <f aca="false">N16+N15</f>
        <v>6</v>
      </c>
      <c r="P16" s="21" t="n">
        <f aca="false">O16+O15</f>
        <v>7</v>
      </c>
      <c r="Q16" s="21" t="n">
        <f aca="false">P16+P15</f>
        <v>8</v>
      </c>
      <c r="R16" s="21" t="n">
        <f aca="false">Q16+Q15</f>
        <v>9</v>
      </c>
      <c r="S16" s="21" t="n">
        <f aca="false">R16+R15</f>
        <v>10</v>
      </c>
      <c r="T16" s="21" t="n">
        <f aca="false">S16+S15</f>
        <v>11</v>
      </c>
      <c r="U16" s="21" t="n">
        <f aca="false">T16+T15</f>
        <v>11</v>
      </c>
      <c r="V16" s="21" t="n">
        <f aca="false">U16+U15</f>
        <v>12</v>
      </c>
      <c r="W16" s="21" t="n">
        <f aca="false">V16+V15</f>
        <v>12</v>
      </c>
      <c r="X16" s="21" t="n">
        <f aca="false">W16+W15</f>
        <v>13</v>
      </c>
      <c r="Y16" s="21" t="n">
        <f aca="false">X16+X15</f>
        <v>13</v>
      </c>
      <c r="Z16" s="21" t="n">
        <f aca="false">Y16+Y15</f>
        <v>14</v>
      </c>
      <c r="AA16" s="21" t="n">
        <f aca="false">Z16+Z15</f>
        <v>14</v>
      </c>
      <c r="AB16" s="21" t="n">
        <f aca="false">AA16+AA15</f>
        <v>15</v>
      </c>
      <c r="AC16" s="21" t="n">
        <f aca="false">AB16+AB15</f>
        <v>15</v>
      </c>
      <c r="AD16" s="21" t="n">
        <f aca="false">AC16+AC15</f>
        <v>16</v>
      </c>
      <c r="AE16" s="21" t="n">
        <f aca="false">AD16+AD15</f>
        <v>16</v>
      </c>
      <c r="AF16" s="21" t="n">
        <f aca="false">AE16+AE15</f>
        <v>17</v>
      </c>
      <c r="AG16" s="21" t="n">
        <f aca="false">AF16+AF15</f>
        <v>17</v>
      </c>
      <c r="AH16" s="21" t="n">
        <f aca="false">AG16+AG15</f>
        <v>18</v>
      </c>
      <c r="AI16" s="21" t="n">
        <f aca="false">AH16+AH15</f>
        <v>18</v>
      </c>
      <c r="AJ16" s="21" t="n">
        <f aca="false">AI16+AI15</f>
        <v>18</v>
      </c>
      <c r="AK16" s="21" t="n">
        <f aca="false">AJ16+AJ15</f>
        <v>18</v>
      </c>
      <c r="AL16" s="21" t="n">
        <f aca="false">AK16+AK15</f>
        <v>18</v>
      </c>
    </row>
    <row r="17" customFormat="false" ht="15" hidden="false" customHeight="false" outlineLevel="0" collapsed="false">
      <c r="A17" s="14" t="s">
        <v>203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 customFormat="false" ht="15" hidden="false" customHeight="false" outlineLevel="0" collapsed="false">
      <c r="A18" s="2" t="s">
        <v>204</v>
      </c>
      <c r="B18" s="4"/>
      <c r="C18" s="25" t="n">
        <f aca="false">(1+Inputs!$E$13)^(C$3-1)</f>
        <v>1</v>
      </c>
      <c r="D18" s="25" t="n">
        <f aca="false">(1+Inputs!$E$13)^(D$3-1)</f>
        <v>1</v>
      </c>
      <c r="E18" s="25" t="n">
        <f aca="false">(1+Inputs!$E$13)^(E$3-1)</f>
        <v>1</v>
      </c>
      <c r="F18" s="25" t="n">
        <f aca="false">(1+Inputs!$E$13)^(F$3-1)</f>
        <v>1</v>
      </c>
      <c r="G18" s="25" t="n">
        <f aca="false">(1+Inputs!$E$13)^(G$3-1)</f>
        <v>1</v>
      </c>
      <c r="H18" s="25" t="n">
        <f aca="false">(1+Inputs!$E$13)^(H$3-1)</f>
        <v>1</v>
      </c>
      <c r="I18" s="25" t="n">
        <f aca="false">(1+Inputs!$E$13)^(I$3-1)</f>
        <v>1</v>
      </c>
      <c r="J18" s="25" t="n">
        <f aca="false">(1+Inputs!$E$13)^(J$3-1)</f>
        <v>1</v>
      </c>
      <c r="K18" s="25" t="n">
        <f aca="false">(1+Inputs!$E$13)^(K$3-1)</f>
        <v>1</v>
      </c>
      <c r="L18" s="25" t="n">
        <f aca="false">(1+Inputs!$E$13)^(L$3-1)</f>
        <v>1</v>
      </c>
      <c r="M18" s="25" t="n">
        <f aca="false">(1+Inputs!$E$13)^(M$3-1)</f>
        <v>1</v>
      </c>
      <c r="N18" s="25" t="n">
        <f aca="false">(1+Inputs!$E$13)^(N$3-1)</f>
        <v>1</v>
      </c>
      <c r="O18" s="25" t="n">
        <f aca="false">(1+Inputs!$E$13)^(O$3-1)</f>
        <v>1.05</v>
      </c>
      <c r="P18" s="25" t="n">
        <f aca="false">(1+Inputs!$E$13)^(P$3-1)</f>
        <v>1.05</v>
      </c>
      <c r="Q18" s="25" t="n">
        <f aca="false">(1+Inputs!$E$13)^(Q$3-1)</f>
        <v>1.05</v>
      </c>
      <c r="R18" s="25" t="n">
        <f aca="false">(1+Inputs!$E$13)^(R$3-1)</f>
        <v>1.05</v>
      </c>
      <c r="S18" s="25" t="n">
        <f aca="false">(1+Inputs!$E$13)^(S$3-1)</f>
        <v>1.05</v>
      </c>
      <c r="T18" s="25" t="n">
        <f aca="false">(1+Inputs!$E$13)^(T$3-1)</f>
        <v>1.05</v>
      </c>
      <c r="U18" s="25" t="n">
        <f aca="false">(1+Inputs!$E$13)^(U$3-1)</f>
        <v>1.05</v>
      </c>
      <c r="V18" s="25" t="n">
        <f aca="false">(1+Inputs!$E$13)^(V$3-1)</f>
        <v>1.05</v>
      </c>
      <c r="W18" s="25" t="n">
        <f aca="false">(1+Inputs!$E$13)^(W$3-1)</f>
        <v>1.05</v>
      </c>
      <c r="X18" s="25" t="n">
        <f aca="false">(1+Inputs!$E$13)^(X$3-1)</f>
        <v>1.05</v>
      </c>
      <c r="Y18" s="25" t="n">
        <f aca="false">(1+Inputs!$E$13)^(Y$3-1)</f>
        <v>1.05</v>
      </c>
      <c r="Z18" s="25" t="n">
        <f aca="false">(1+Inputs!$E$13)^(Z$3-1)</f>
        <v>1.05</v>
      </c>
      <c r="AA18" s="25" t="n">
        <f aca="false">(1+Inputs!$E$13)^(AA$3-1)</f>
        <v>1.1025</v>
      </c>
      <c r="AB18" s="25" t="n">
        <f aca="false">(1+Inputs!$E$13)^(AB$3-1)</f>
        <v>1.1025</v>
      </c>
      <c r="AC18" s="25" t="n">
        <f aca="false">(1+Inputs!$E$13)^(AC$3-1)</f>
        <v>1.1025</v>
      </c>
      <c r="AD18" s="25" t="n">
        <f aca="false">(1+Inputs!$E$13)^(AD$3-1)</f>
        <v>1.1025</v>
      </c>
      <c r="AE18" s="25" t="n">
        <f aca="false">(1+Inputs!$E$13)^(AE$3-1)</f>
        <v>1.1025</v>
      </c>
      <c r="AF18" s="25" t="n">
        <f aca="false">(1+Inputs!$E$13)^(AF$3-1)</f>
        <v>1.1025</v>
      </c>
      <c r="AG18" s="25" t="n">
        <f aca="false">(1+Inputs!$E$13)^(AG$3-1)</f>
        <v>1.1025</v>
      </c>
      <c r="AH18" s="25" t="n">
        <f aca="false">(1+Inputs!$E$13)^(AH$3-1)</f>
        <v>1.1025</v>
      </c>
      <c r="AI18" s="25" t="n">
        <f aca="false">(1+Inputs!$E$13)^(AI$3-1)</f>
        <v>1.1025</v>
      </c>
      <c r="AJ18" s="25" t="n">
        <f aca="false">(1+Inputs!$E$13)^(AJ$3-1)</f>
        <v>1.1025</v>
      </c>
      <c r="AK18" s="25" t="n">
        <f aca="false">(1+Inputs!$E$13)^(AK$3-1)</f>
        <v>1.1025</v>
      </c>
      <c r="AL18" s="25" t="n">
        <f aca="false">(1+Inputs!$E$13)^(AL$3-1)</f>
        <v>1.1025</v>
      </c>
    </row>
    <row r="19" customFormat="false" ht="15" hidden="false" customHeight="false" outlineLevel="0" collapsed="false">
      <c r="A19" s="2" t="s">
        <v>205</v>
      </c>
      <c r="B19" s="4"/>
      <c r="C19" s="11" t="n">
        <f aca="false">(C12*Inputs!$E$10+C13*Inputs!$E$8)*C18</f>
        <v>0</v>
      </c>
      <c r="D19" s="11" t="n">
        <f aca="false">(D12*Inputs!$E$10+D13*Inputs!$E$8)*D18</f>
        <v>0</v>
      </c>
      <c r="E19" s="11" t="n">
        <f aca="false">(E12*Inputs!$E$10+E13*Inputs!$E$8)*E18</f>
        <v>0</v>
      </c>
      <c r="F19" s="11" t="n">
        <f aca="false">(F12*Inputs!$E$10+F13*Inputs!$E$8)*F18</f>
        <v>3800</v>
      </c>
      <c r="G19" s="11" t="n">
        <f aca="false">(G12*Inputs!$E$10+G13*Inputs!$E$8)*G18</f>
        <v>3800</v>
      </c>
      <c r="H19" s="11" t="n">
        <f aca="false">(H12*Inputs!$E$10+H13*Inputs!$E$8)*H18</f>
        <v>3800</v>
      </c>
      <c r="I19" s="11" t="n">
        <f aca="false">(I12*Inputs!$E$10+I13*Inputs!$E$8)*I18</f>
        <v>3800</v>
      </c>
      <c r="J19" s="11" t="n">
        <f aca="false">(J12*Inputs!$E$10+J13*Inputs!$E$8)*J18</f>
        <v>3800</v>
      </c>
      <c r="K19" s="11" t="n">
        <f aca="false">(K12*Inputs!$E$10+K13*Inputs!$E$8)*K18</f>
        <v>6300</v>
      </c>
      <c r="L19" s="11" t="n">
        <f aca="false">(L12*Inputs!$E$10+L13*Inputs!$E$8)*L18</f>
        <v>6300</v>
      </c>
      <c r="M19" s="11" t="n">
        <f aca="false">(M12*Inputs!$E$10+M13*Inputs!$E$8)*M18</f>
        <v>8800</v>
      </c>
      <c r="N19" s="11" t="n">
        <f aca="false">(N12*Inputs!$E$10+N13*Inputs!$E$8)*N18</f>
        <v>8800</v>
      </c>
      <c r="O19" s="11" t="n">
        <f aca="false">(O12*Inputs!$E$10+O13*Inputs!$E$8)*O18</f>
        <v>11865</v>
      </c>
      <c r="P19" s="11" t="n">
        <f aca="false">(P12*Inputs!$E$10+P13*Inputs!$E$8)*P18</f>
        <v>11865</v>
      </c>
      <c r="Q19" s="11" t="n">
        <f aca="false">(Q12*Inputs!$E$10+Q13*Inputs!$E$8)*Q18</f>
        <v>11865</v>
      </c>
      <c r="R19" s="11" t="n">
        <f aca="false">(R12*Inputs!$E$10+R13*Inputs!$E$8)*R18</f>
        <v>14490</v>
      </c>
      <c r="S19" s="11" t="n">
        <f aca="false">(S12*Inputs!$E$10+S13*Inputs!$E$8)*S18</f>
        <v>17115</v>
      </c>
      <c r="T19" s="11" t="n">
        <f aca="false">(T12*Inputs!$E$10+T13*Inputs!$E$8)*T18</f>
        <v>17115</v>
      </c>
      <c r="U19" s="11" t="n">
        <f aca="false">(U12*Inputs!$E$10+U13*Inputs!$E$8)*U18</f>
        <v>19740</v>
      </c>
      <c r="V19" s="11" t="n">
        <f aca="false">(V12*Inputs!$E$10+V13*Inputs!$E$8)*V18</f>
        <v>19740</v>
      </c>
      <c r="W19" s="11" t="n">
        <f aca="false">(W12*Inputs!$E$10+W13*Inputs!$E$8)*W18</f>
        <v>22365</v>
      </c>
      <c r="X19" s="11" t="n">
        <f aca="false">(X12*Inputs!$E$10+X13*Inputs!$E$8)*X18</f>
        <v>22365</v>
      </c>
      <c r="Y19" s="11" t="n">
        <f aca="false">(Y12*Inputs!$E$10+Y13*Inputs!$E$8)*Y18</f>
        <v>24990</v>
      </c>
      <c r="Z19" s="11" t="n">
        <f aca="false">(Z12*Inputs!$E$10+Z13*Inputs!$E$8)*Z18</f>
        <v>27615</v>
      </c>
      <c r="AA19" s="11" t="n">
        <f aca="false">(AA12*Inputs!$E$10+AA13*Inputs!$E$8)*AA18</f>
        <v>28995.75</v>
      </c>
      <c r="AB19" s="11" t="n">
        <f aca="false">(AB12*Inputs!$E$10+AB13*Inputs!$E$8)*AB18</f>
        <v>31752</v>
      </c>
      <c r="AC19" s="11" t="n">
        <f aca="false">(AC12*Inputs!$E$10+AC13*Inputs!$E$8)*AC18</f>
        <v>31752</v>
      </c>
      <c r="AD19" s="11" t="n">
        <f aca="false">(AD12*Inputs!$E$10+AD13*Inputs!$E$8)*AD18</f>
        <v>34508.25</v>
      </c>
      <c r="AE19" s="11" t="n">
        <f aca="false">(AE12*Inputs!$E$10+AE13*Inputs!$E$8)*AE18</f>
        <v>37264.5</v>
      </c>
      <c r="AF19" s="11" t="n">
        <f aca="false">(AF12*Inputs!$E$10+AF13*Inputs!$E$8)*AF18</f>
        <v>37264.5</v>
      </c>
      <c r="AG19" s="11" t="n">
        <f aca="false">(AG12*Inputs!$E$10+AG13*Inputs!$E$8)*AG18</f>
        <v>40020.75</v>
      </c>
      <c r="AH19" s="11" t="n">
        <f aca="false">(AH12*Inputs!$E$10+AH13*Inputs!$E$8)*AH18</f>
        <v>40020.75</v>
      </c>
      <c r="AI19" s="11" t="n">
        <f aca="false">(AI12*Inputs!$E$10+AI13*Inputs!$E$8)*AI18</f>
        <v>42777</v>
      </c>
      <c r="AJ19" s="11" t="n">
        <f aca="false">(AJ12*Inputs!$E$10+AJ13*Inputs!$E$8)*AJ18</f>
        <v>45533.25</v>
      </c>
      <c r="AK19" s="11" t="n">
        <f aca="false">(AK12*Inputs!$E$10+AK13*Inputs!$E$8)*AK18</f>
        <v>48289.5</v>
      </c>
      <c r="AL19" s="11" t="n">
        <f aca="false">(AL12*Inputs!$E$10+AL13*Inputs!$E$8)*AL18</f>
        <v>51045.75</v>
      </c>
    </row>
    <row r="20" customFormat="false" ht="15" hidden="false" customHeight="false" outlineLevel="0" collapsed="false">
      <c r="A20" s="2" t="s">
        <v>112</v>
      </c>
      <c r="B20" s="4"/>
      <c r="C20" s="11" t="n">
        <f aca="false">C14*Inputs!$E$14*Inputs!$E$15*C18</f>
        <v>0</v>
      </c>
      <c r="D20" s="11" t="n">
        <f aca="false">D14*Inputs!$E$14*Inputs!$E$15*D18</f>
        <v>0</v>
      </c>
      <c r="E20" s="11" t="n">
        <f aca="false">E14*Inputs!$E$14*Inputs!$E$15*E18</f>
        <v>0</v>
      </c>
      <c r="F20" s="11" t="n">
        <f aca="false">F14*Inputs!$E$14*Inputs!$E$15*F18</f>
        <v>0</v>
      </c>
      <c r="G20" s="11" t="n">
        <f aca="false">G14*Inputs!$E$14*Inputs!$E$15*G18</f>
        <v>0</v>
      </c>
      <c r="H20" s="11" t="n">
        <f aca="false">H14*Inputs!$E$14*Inputs!$E$15*H18</f>
        <v>500</v>
      </c>
      <c r="I20" s="11" t="n">
        <f aca="false">I14*Inputs!$E$14*Inputs!$E$15*I18</f>
        <v>500</v>
      </c>
      <c r="J20" s="11" t="n">
        <f aca="false">J14*Inputs!$E$14*Inputs!$E$15*J18</f>
        <v>500</v>
      </c>
      <c r="K20" s="11" t="n">
        <f aca="false">K14*Inputs!$E$14*Inputs!$E$15*K18</f>
        <v>500</v>
      </c>
      <c r="L20" s="11" t="n">
        <f aca="false">L14*Inputs!$E$14*Inputs!$E$15*L18</f>
        <v>500</v>
      </c>
      <c r="M20" s="11" t="n">
        <f aca="false">M14*Inputs!$E$14*Inputs!$E$15*M18</f>
        <v>1000</v>
      </c>
      <c r="N20" s="11" t="n">
        <f aca="false">N14*Inputs!$E$14*Inputs!$E$15*N18</f>
        <v>1000</v>
      </c>
      <c r="O20" s="11" t="n">
        <f aca="false">O14*Inputs!$E$14*Inputs!$E$15*O18</f>
        <v>1575</v>
      </c>
      <c r="P20" s="11" t="n">
        <f aca="false">P14*Inputs!$E$14*Inputs!$E$15*P18</f>
        <v>1575</v>
      </c>
      <c r="Q20" s="11" t="n">
        <f aca="false">Q14*Inputs!$E$14*Inputs!$E$15*Q18</f>
        <v>2100</v>
      </c>
      <c r="R20" s="11" t="n">
        <f aca="false">R14*Inputs!$E$14*Inputs!$E$15*R18</f>
        <v>2100</v>
      </c>
      <c r="S20" s="11" t="n">
        <f aca="false">S14*Inputs!$E$14*Inputs!$E$15*S18</f>
        <v>2100</v>
      </c>
      <c r="T20" s="11" t="n">
        <f aca="false">T14*Inputs!$E$14*Inputs!$E$15*T18</f>
        <v>2625</v>
      </c>
      <c r="U20" s="11" t="n">
        <f aca="false">U14*Inputs!$E$14*Inputs!$E$15*U18</f>
        <v>3150</v>
      </c>
      <c r="V20" s="11" t="n">
        <f aca="false">V14*Inputs!$E$14*Inputs!$E$15*V18</f>
        <v>3150</v>
      </c>
      <c r="W20" s="11" t="n">
        <f aca="false">W14*Inputs!$E$14*Inputs!$E$15*W18</f>
        <v>3675</v>
      </c>
      <c r="X20" s="11" t="n">
        <f aca="false">X14*Inputs!$E$14*Inputs!$E$15*X18</f>
        <v>3675</v>
      </c>
      <c r="Y20" s="11" t="n">
        <f aca="false">Y14*Inputs!$E$14*Inputs!$E$15*Y18</f>
        <v>4200</v>
      </c>
      <c r="Z20" s="11" t="n">
        <f aca="false">Z14*Inputs!$E$14*Inputs!$E$15*Z18</f>
        <v>4200</v>
      </c>
      <c r="AA20" s="11" t="n">
        <f aca="false">AA14*Inputs!$E$14*Inputs!$E$15*AA18</f>
        <v>4961.25</v>
      </c>
      <c r="AB20" s="11" t="n">
        <f aca="false">AB14*Inputs!$E$14*Inputs!$E$15*AB18</f>
        <v>5512.5</v>
      </c>
      <c r="AC20" s="11" t="n">
        <f aca="false">AC14*Inputs!$E$14*Inputs!$E$15*AC18</f>
        <v>5512.5</v>
      </c>
      <c r="AD20" s="11" t="n">
        <f aca="false">AD14*Inputs!$E$14*Inputs!$E$15*AD18</f>
        <v>6063.75</v>
      </c>
      <c r="AE20" s="11" t="n">
        <f aca="false">AE14*Inputs!$E$14*Inputs!$E$15*AE18</f>
        <v>6063.75</v>
      </c>
      <c r="AF20" s="11" t="n">
        <f aca="false">AF14*Inputs!$E$14*Inputs!$E$15*AF18</f>
        <v>6615</v>
      </c>
      <c r="AG20" s="11" t="n">
        <f aca="false">AG14*Inputs!$E$14*Inputs!$E$15*AG18</f>
        <v>7166.25</v>
      </c>
      <c r="AH20" s="11" t="n">
        <f aca="false">AH14*Inputs!$E$14*Inputs!$E$15*AH18</f>
        <v>7166.25</v>
      </c>
      <c r="AI20" s="11" t="n">
        <f aca="false">AI14*Inputs!$E$14*Inputs!$E$15*AI18</f>
        <v>7717.5</v>
      </c>
      <c r="AJ20" s="11" t="n">
        <f aca="false">AJ14*Inputs!$E$14*Inputs!$E$15*AJ18</f>
        <v>7717.5</v>
      </c>
      <c r="AK20" s="11" t="n">
        <f aca="false">AK14*Inputs!$E$14*Inputs!$E$15*AK18</f>
        <v>8268.75</v>
      </c>
      <c r="AL20" s="11" t="n">
        <f aca="false">AL14*Inputs!$E$14*Inputs!$E$15*AL18</f>
        <v>8820</v>
      </c>
    </row>
    <row r="21" customFormat="false" ht="15" hidden="false" customHeight="false" outlineLevel="0" collapsed="false">
      <c r="A21" s="2" t="s">
        <v>206</v>
      </c>
      <c r="B21" s="4"/>
      <c r="C21" s="11" t="n">
        <f aca="false">C8*Inputs!$E$9*Inputs!$E$11+C9*Inputs!$E$9*(1-Inputs!$E$11)+C7*Inputs!$E$7*Inputs!$E$11+C10*Inputs!$E$7*(1-Inputs!$E$11)</f>
        <v>10000</v>
      </c>
      <c r="D21" s="11" t="n">
        <f aca="false">D8*Inputs!$E$9*Inputs!$E$11+D9*Inputs!$E$9*(1-Inputs!$E$11)+D7*Inputs!$E$7*Inputs!$E$11+D10*Inputs!$E$7*(1-Inputs!$E$11)</f>
        <v>0</v>
      </c>
      <c r="E21" s="11" t="n">
        <f aca="false">E8*Inputs!$E$9*Inputs!$E$11+E9*Inputs!$E$9*(1-Inputs!$E$11)+E7*Inputs!$E$7*Inputs!$E$11+E10*Inputs!$E$7*(1-Inputs!$E$11)</f>
        <v>10000</v>
      </c>
      <c r="F21" s="11" t="n">
        <f aca="false">F8*Inputs!$E$9*Inputs!$E$11+F9*Inputs!$E$9*(1-Inputs!$E$11)+F7*Inputs!$E$7*Inputs!$E$11+F10*Inputs!$E$7*(1-Inputs!$E$11)</f>
        <v>0</v>
      </c>
      <c r="G21" s="11" t="n">
        <f aca="false">G8*Inputs!$E$9*Inputs!$E$11+G9*Inputs!$E$9*(1-Inputs!$E$11)+G7*Inputs!$E$7*Inputs!$E$11+G10*Inputs!$E$7*(1-Inputs!$E$11)</f>
        <v>0</v>
      </c>
      <c r="H21" s="11" t="n">
        <f aca="false">H8*Inputs!$E$9*Inputs!$E$11+H9*Inputs!$E$9*(1-Inputs!$E$11)+H7*Inputs!$E$7*Inputs!$E$11+H10*Inputs!$E$7*(1-Inputs!$E$11)</f>
        <v>9500</v>
      </c>
      <c r="I21" s="11" t="n">
        <f aca="false">I8*Inputs!$E$9*Inputs!$E$11+I9*Inputs!$E$9*(1-Inputs!$E$11)+I7*Inputs!$E$7*Inputs!$E$11+I10*Inputs!$E$7*(1-Inputs!$E$11)</f>
        <v>0</v>
      </c>
      <c r="J21" s="11" t="n">
        <f aca="false">J8*Inputs!$E$9*Inputs!$E$11+J9*Inputs!$E$9*(1-Inputs!$E$11)+J7*Inputs!$E$7*Inputs!$E$11+J10*Inputs!$E$7*(1-Inputs!$E$11)</f>
        <v>19000</v>
      </c>
      <c r="K21" s="11" t="n">
        <f aca="false">K8*Inputs!$E$9*Inputs!$E$11+K9*Inputs!$E$9*(1-Inputs!$E$11)+K7*Inputs!$E$7*Inputs!$E$11+K10*Inputs!$E$7*(1-Inputs!$E$11)</f>
        <v>0</v>
      </c>
      <c r="L21" s="11" t="n">
        <f aca="false">L8*Inputs!$E$9*Inputs!$E$11+L9*Inputs!$E$9*(1-Inputs!$E$11)+L7*Inputs!$E$7*Inputs!$E$11+L10*Inputs!$E$7*(1-Inputs!$E$11)</f>
        <v>19000</v>
      </c>
      <c r="M21" s="11" t="n">
        <f aca="false">M8*Inputs!$E$9*Inputs!$E$11+M9*Inputs!$E$9*(1-Inputs!$E$11)+M7*Inputs!$E$7*Inputs!$E$11+M10*Inputs!$E$7*(1-Inputs!$E$11)</f>
        <v>0</v>
      </c>
      <c r="N21" s="11" t="n">
        <f aca="false">N8*Inputs!$E$9*Inputs!$E$11+N9*Inputs!$E$9*(1-Inputs!$E$11)+N7*Inputs!$E$7*Inputs!$E$11+N10*Inputs!$E$7*(1-Inputs!$E$11)</f>
        <v>9500</v>
      </c>
      <c r="O21" s="11" t="n">
        <f aca="false">O8*Inputs!$E$9*Inputs!$E$11+O9*Inputs!$E$9*(1-Inputs!$E$11)+O7*Inputs!$E$7*Inputs!$E$11+O10*Inputs!$E$7*(1-Inputs!$E$11)</f>
        <v>9500</v>
      </c>
      <c r="P21" s="11" t="n">
        <f aca="false">P8*Inputs!$E$9*Inputs!$E$11+P9*Inputs!$E$9*(1-Inputs!$E$11)+P7*Inputs!$E$7*Inputs!$E$11+P10*Inputs!$E$7*(1-Inputs!$E$11)</f>
        <v>9500</v>
      </c>
      <c r="Q21" s="11" t="n">
        <f aca="false">Q8*Inputs!$E$9*Inputs!$E$11+Q9*Inputs!$E$9*(1-Inputs!$E$11)+Q7*Inputs!$E$7*Inputs!$E$11+Q10*Inputs!$E$7*(1-Inputs!$E$11)</f>
        <v>9500</v>
      </c>
      <c r="R21" s="11" t="n">
        <f aca="false">R8*Inputs!$E$9*Inputs!$E$11+R9*Inputs!$E$9*(1-Inputs!$E$11)+R7*Inputs!$E$7*Inputs!$E$11+R10*Inputs!$E$7*(1-Inputs!$E$11)</f>
        <v>19000</v>
      </c>
      <c r="S21" s="11" t="n">
        <f aca="false">S8*Inputs!$E$9*Inputs!$E$11+S9*Inputs!$E$9*(1-Inputs!$E$11)+S7*Inputs!$E$7*Inputs!$E$11+S10*Inputs!$E$7*(1-Inputs!$E$11)</f>
        <v>0</v>
      </c>
      <c r="T21" s="11" t="n">
        <f aca="false">T8*Inputs!$E$9*Inputs!$E$11+T9*Inputs!$E$9*(1-Inputs!$E$11)+T7*Inputs!$E$7*Inputs!$E$11+T10*Inputs!$E$7*(1-Inputs!$E$11)</f>
        <v>19000</v>
      </c>
      <c r="U21" s="11" t="n">
        <f aca="false">U8*Inputs!$E$9*Inputs!$E$11+U9*Inputs!$E$9*(1-Inputs!$E$11)+U7*Inputs!$E$7*Inputs!$E$11+U10*Inputs!$E$7*(1-Inputs!$E$11)</f>
        <v>0</v>
      </c>
      <c r="V21" s="11" t="n">
        <f aca="false">V8*Inputs!$E$9*Inputs!$E$11+V9*Inputs!$E$9*(1-Inputs!$E$11)+V7*Inputs!$E$7*Inputs!$E$11+V10*Inputs!$E$7*(1-Inputs!$E$11)</f>
        <v>19000</v>
      </c>
      <c r="W21" s="11" t="n">
        <f aca="false">W8*Inputs!$E$9*Inputs!$E$11+W9*Inputs!$E$9*(1-Inputs!$E$11)+W7*Inputs!$E$7*Inputs!$E$11+W10*Inputs!$E$7*(1-Inputs!$E$11)</f>
        <v>9500</v>
      </c>
      <c r="X21" s="11" t="n">
        <f aca="false">X8*Inputs!$E$9*Inputs!$E$11+X9*Inputs!$E$9*(1-Inputs!$E$11)+X7*Inputs!$E$7*Inputs!$E$11+X10*Inputs!$E$7*(1-Inputs!$E$11)</f>
        <v>9500</v>
      </c>
      <c r="Y21" s="11" t="n">
        <f aca="false">Y8*Inputs!$E$9*Inputs!$E$11+Y9*Inputs!$E$9*(1-Inputs!$E$11)+Y7*Inputs!$E$7*Inputs!$E$11+Y10*Inputs!$E$7*(1-Inputs!$E$11)</f>
        <v>19000</v>
      </c>
      <c r="Z21" s="11" t="n">
        <f aca="false">Z8*Inputs!$E$9*Inputs!$E$11+Z9*Inputs!$E$9*(1-Inputs!$E$11)+Z7*Inputs!$E$7*Inputs!$E$11+Z10*Inputs!$E$7*(1-Inputs!$E$11)</f>
        <v>0</v>
      </c>
      <c r="AA21" s="11" t="n">
        <f aca="false">AA8*Inputs!$E$9*Inputs!$E$11+AA9*Inputs!$E$9*(1-Inputs!$E$11)+AA7*Inputs!$E$7*Inputs!$E$11+AA10*Inputs!$E$7*(1-Inputs!$E$11)</f>
        <v>19000</v>
      </c>
      <c r="AB21" s="11" t="n">
        <f aca="false">AB8*Inputs!$E$9*Inputs!$E$11+AB9*Inputs!$E$9*(1-Inputs!$E$11)+AB7*Inputs!$E$7*Inputs!$E$11+AB10*Inputs!$E$7*(1-Inputs!$E$11)</f>
        <v>9500</v>
      </c>
      <c r="AC21" s="11" t="n">
        <f aca="false">AC8*Inputs!$E$9*Inputs!$E$11+AC9*Inputs!$E$9*(1-Inputs!$E$11)+AC7*Inputs!$E$7*Inputs!$E$11+AC10*Inputs!$E$7*(1-Inputs!$E$11)</f>
        <v>9500</v>
      </c>
      <c r="AD21" s="11" t="n">
        <f aca="false">AD8*Inputs!$E$9*Inputs!$E$11+AD9*Inputs!$E$9*(1-Inputs!$E$11)+AD7*Inputs!$E$7*Inputs!$E$11+AD10*Inputs!$E$7*(1-Inputs!$E$11)</f>
        <v>19000</v>
      </c>
      <c r="AE21" s="11" t="n">
        <f aca="false">AE8*Inputs!$E$9*Inputs!$E$11+AE9*Inputs!$E$9*(1-Inputs!$E$11)+AE7*Inputs!$E$7*Inputs!$E$11+AE10*Inputs!$E$7*(1-Inputs!$E$11)</f>
        <v>0</v>
      </c>
      <c r="AF21" s="11" t="n">
        <f aca="false">AF8*Inputs!$E$9*Inputs!$E$11+AF9*Inputs!$E$9*(1-Inputs!$E$11)+AF7*Inputs!$E$7*Inputs!$E$11+AF10*Inputs!$E$7*(1-Inputs!$E$11)</f>
        <v>19000</v>
      </c>
      <c r="AG21" s="11" t="n">
        <f aca="false">AG8*Inputs!$E$9*Inputs!$E$11+AG9*Inputs!$E$9*(1-Inputs!$E$11)+AG7*Inputs!$E$7*Inputs!$E$11+AG10*Inputs!$E$7*(1-Inputs!$E$11)</f>
        <v>9500</v>
      </c>
      <c r="AH21" s="11" t="n">
        <f aca="false">AH8*Inputs!$E$9*Inputs!$E$11+AH9*Inputs!$E$9*(1-Inputs!$E$11)+AH7*Inputs!$E$7*Inputs!$E$11+AH10*Inputs!$E$7*(1-Inputs!$E$11)</f>
        <v>19000</v>
      </c>
      <c r="AI21" s="11" t="n">
        <f aca="false">AI8*Inputs!$E$9*Inputs!$E$11+AI9*Inputs!$E$9*(1-Inputs!$E$11)+AI7*Inputs!$E$7*Inputs!$E$11+AI10*Inputs!$E$7*(1-Inputs!$E$11)</f>
        <v>19000</v>
      </c>
      <c r="AJ21" s="11" t="n">
        <f aca="false">AJ8*Inputs!$E$9*Inputs!$E$11+AJ9*Inputs!$E$9*(1-Inputs!$E$11)+AJ7*Inputs!$E$7*Inputs!$E$11+AJ10*Inputs!$E$7*(1-Inputs!$E$11)</f>
        <v>19000</v>
      </c>
      <c r="AK21" s="11" t="n">
        <f aca="false">AK8*Inputs!$E$9*Inputs!$E$11+AK9*Inputs!$E$9*(1-Inputs!$E$11)+AK7*Inputs!$E$7*Inputs!$E$11+AK10*Inputs!$E$7*(1-Inputs!$E$11)</f>
        <v>19000</v>
      </c>
      <c r="AL21" s="11" t="n">
        <f aca="false">AL8*Inputs!$E$9*Inputs!$E$11+AL9*Inputs!$E$9*(1-Inputs!$E$11)+AL7*Inputs!$E$7*Inputs!$E$11+AL10*Inputs!$E$7*(1-Inputs!$E$11)</f>
        <v>9500</v>
      </c>
    </row>
    <row r="22" customFormat="false" ht="15" hidden="false" customHeight="false" outlineLevel="0" collapsed="false">
      <c r="A22" s="2" t="s">
        <v>113</v>
      </c>
      <c r="B22" s="4"/>
      <c r="C22" s="11" t="n">
        <f aca="false">(C9+C10)*Inputs!$E$17*Inputs!$E$18</f>
        <v>0</v>
      </c>
      <c r="D22" s="11" t="n">
        <f aca="false">(D9+D10)*Inputs!$E$17*Inputs!$E$18</f>
        <v>0</v>
      </c>
      <c r="E22" s="11" t="n">
        <f aca="false">(E9+E10)*Inputs!$E$17*Inputs!$E$18</f>
        <v>2240</v>
      </c>
      <c r="F22" s="11" t="n">
        <f aca="false">(F9+F10)*Inputs!$E$17*Inputs!$E$18</f>
        <v>0</v>
      </c>
      <c r="G22" s="11" t="n">
        <f aca="false">(G9+G10)*Inputs!$E$17*Inputs!$E$18</f>
        <v>0</v>
      </c>
      <c r="H22" s="11" t="n">
        <f aca="false">(H9+H10)*Inputs!$E$17*Inputs!$E$18</f>
        <v>0</v>
      </c>
      <c r="I22" s="11" t="n">
        <f aca="false">(I9+I10)*Inputs!$E$17*Inputs!$E$18</f>
        <v>0</v>
      </c>
      <c r="J22" s="11" t="n">
        <f aca="false">(J9+J10)*Inputs!$E$17*Inputs!$E$18</f>
        <v>2240</v>
      </c>
      <c r="K22" s="11" t="n">
        <f aca="false">(K9+K10)*Inputs!$E$17*Inputs!$E$18</f>
        <v>0</v>
      </c>
      <c r="L22" s="11" t="n">
        <f aca="false">(L9+L10)*Inputs!$E$17*Inputs!$E$18</f>
        <v>2240</v>
      </c>
      <c r="M22" s="11" t="n">
        <f aca="false">(M9+M10)*Inputs!$E$17*Inputs!$E$18</f>
        <v>0</v>
      </c>
      <c r="N22" s="11" t="n">
        <f aca="false">(N9+N10)*Inputs!$E$17*Inputs!$E$18</f>
        <v>2240</v>
      </c>
      <c r="O22" s="11" t="n">
        <f aca="false">(O9+O10)*Inputs!$E$17*Inputs!$E$18</f>
        <v>0</v>
      </c>
      <c r="P22" s="11" t="n">
        <f aca="false">(P9+P10)*Inputs!$E$17*Inputs!$E$18</f>
        <v>0</v>
      </c>
      <c r="Q22" s="11" t="n">
        <f aca="false">(Q9+Q10)*Inputs!$E$17*Inputs!$E$18</f>
        <v>2240</v>
      </c>
      <c r="R22" s="11" t="n">
        <f aca="false">(R9+R10)*Inputs!$E$17*Inputs!$E$18</f>
        <v>2240</v>
      </c>
      <c r="S22" s="11" t="n">
        <f aca="false">(S9+S10)*Inputs!$E$17*Inputs!$E$18</f>
        <v>0</v>
      </c>
      <c r="T22" s="11" t="n">
        <f aca="false">(T9+T10)*Inputs!$E$17*Inputs!$E$18</f>
        <v>2240</v>
      </c>
      <c r="U22" s="11" t="n">
        <f aca="false">(U9+U10)*Inputs!$E$17*Inputs!$E$18</f>
        <v>0</v>
      </c>
      <c r="V22" s="11" t="n">
        <f aca="false">(V9+V10)*Inputs!$E$17*Inputs!$E$18</f>
        <v>2240</v>
      </c>
      <c r="W22" s="11" t="n">
        <f aca="false">(W9+W10)*Inputs!$E$17*Inputs!$E$18</f>
        <v>0</v>
      </c>
      <c r="X22" s="11" t="n">
        <f aca="false">(X9+X10)*Inputs!$E$17*Inputs!$E$18</f>
        <v>2240</v>
      </c>
      <c r="Y22" s="11" t="n">
        <f aca="false">(Y9+Y10)*Inputs!$E$17*Inputs!$E$18</f>
        <v>2240</v>
      </c>
      <c r="Z22" s="11" t="n">
        <f aca="false">(Z9+Z10)*Inputs!$E$17*Inputs!$E$18</f>
        <v>0</v>
      </c>
      <c r="AA22" s="11" t="n">
        <f aca="false">(AA9+AA10)*Inputs!$E$17*Inputs!$E$18</f>
        <v>2240</v>
      </c>
      <c r="AB22" s="11" t="n">
        <f aca="false">(AB9+AB10)*Inputs!$E$17*Inputs!$E$18</f>
        <v>0</v>
      </c>
      <c r="AC22" s="11" t="n">
        <f aca="false">(AC9+AC10)*Inputs!$E$17*Inputs!$E$18</f>
        <v>2240</v>
      </c>
      <c r="AD22" s="11" t="n">
        <f aca="false">(AD9+AD10)*Inputs!$E$17*Inputs!$E$18</f>
        <v>2240</v>
      </c>
      <c r="AE22" s="11" t="n">
        <f aca="false">(AE9+AE10)*Inputs!$E$17*Inputs!$E$18</f>
        <v>0</v>
      </c>
      <c r="AF22" s="11" t="n">
        <f aca="false">(AF9+AF10)*Inputs!$E$17*Inputs!$E$18</f>
        <v>2240</v>
      </c>
      <c r="AG22" s="11" t="n">
        <f aca="false">(AG9+AG10)*Inputs!$E$17*Inputs!$E$18</f>
        <v>0</v>
      </c>
      <c r="AH22" s="11" t="n">
        <f aca="false">(AH9+AH10)*Inputs!$E$17*Inputs!$E$18</f>
        <v>2240</v>
      </c>
      <c r="AI22" s="11" t="n">
        <f aca="false">(AI9+AI10)*Inputs!$E$17*Inputs!$E$18</f>
        <v>2240</v>
      </c>
      <c r="AJ22" s="11" t="n">
        <f aca="false">(AJ9+AJ10)*Inputs!$E$17*Inputs!$E$18</f>
        <v>2240</v>
      </c>
      <c r="AK22" s="11" t="n">
        <f aca="false">(AK9+AK10)*Inputs!$E$17*Inputs!$E$18</f>
        <v>2240</v>
      </c>
      <c r="AL22" s="11" t="n">
        <f aca="false">(AL9+AL10)*Inputs!$E$17*Inputs!$E$18</f>
        <v>2240</v>
      </c>
    </row>
    <row r="23" customFormat="false" ht="15" hidden="false" customHeight="false" outlineLevel="0" collapsed="false">
      <c r="A23" s="2" t="s">
        <v>114</v>
      </c>
      <c r="B23" s="4"/>
      <c r="C23" s="11" t="n">
        <f aca="false">C15*Inputs!$E$20+C16*Inputs!$E$21</f>
        <v>0</v>
      </c>
      <c r="D23" s="11" t="n">
        <f aca="false">D15*Inputs!$E$20+D16*Inputs!$E$21</f>
        <v>4000</v>
      </c>
      <c r="E23" s="11" t="n">
        <f aca="false">E15*Inputs!$E$20+E16*Inputs!$E$21</f>
        <v>4500</v>
      </c>
      <c r="F23" s="11" t="n">
        <f aca="false">F15*Inputs!$E$20+F16*Inputs!$E$21</f>
        <v>1000</v>
      </c>
      <c r="G23" s="11" t="n">
        <f aca="false">G15*Inputs!$E$20+G16*Inputs!$E$21</f>
        <v>5000</v>
      </c>
      <c r="H23" s="11" t="n">
        <f aca="false">H15*Inputs!$E$20+H16*Inputs!$E$21</f>
        <v>1500</v>
      </c>
      <c r="I23" s="11" t="n">
        <f aca="false">I15*Inputs!$E$20+I16*Inputs!$E$21</f>
        <v>5500</v>
      </c>
      <c r="J23" s="11" t="n">
        <f aca="false">J15*Inputs!$E$20+J16*Inputs!$E$21</f>
        <v>2000</v>
      </c>
      <c r="K23" s="11" t="n">
        <f aca="false">K15*Inputs!$E$20+K16*Inputs!$E$21</f>
        <v>6000</v>
      </c>
      <c r="L23" s="11" t="n">
        <f aca="false">L15*Inputs!$E$20+L16*Inputs!$E$21</f>
        <v>2500</v>
      </c>
      <c r="M23" s="11" t="n">
        <f aca="false">M15*Inputs!$E$20+M16*Inputs!$E$21</f>
        <v>6500</v>
      </c>
      <c r="N23" s="11" t="n">
        <f aca="false">N15*Inputs!$E$20+N16*Inputs!$E$21</f>
        <v>3000</v>
      </c>
      <c r="O23" s="11" t="n">
        <f aca="false">O15*Inputs!$E$20+O16*Inputs!$E$21</f>
        <v>7000</v>
      </c>
      <c r="P23" s="11" t="n">
        <f aca="false">P15*Inputs!$E$20+P16*Inputs!$E$21</f>
        <v>7500</v>
      </c>
      <c r="Q23" s="11" t="n">
        <f aca="false">Q15*Inputs!$E$20+Q16*Inputs!$E$21</f>
        <v>8000</v>
      </c>
      <c r="R23" s="11" t="n">
        <f aca="false">R15*Inputs!$E$20+R16*Inputs!$E$21</f>
        <v>8500</v>
      </c>
      <c r="S23" s="11" t="n">
        <f aca="false">S15*Inputs!$E$20+S16*Inputs!$E$21</f>
        <v>9000</v>
      </c>
      <c r="T23" s="11" t="n">
        <f aca="false">T15*Inputs!$E$20+T16*Inputs!$E$21</f>
        <v>5500</v>
      </c>
      <c r="U23" s="11" t="n">
        <f aca="false">U15*Inputs!$E$20+U16*Inputs!$E$21</f>
        <v>9500</v>
      </c>
      <c r="V23" s="11" t="n">
        <f aca="false">V15*Inputs!$E$20+V16*Inputs!$E$21</f>
        <v>6000</v>
      </c>
      <c r="W23" s="11" t="n">
        <f aca="false">W15*Inputs!$E$20+W16*Inputs!$E$21</f>
        <v>10000</v>
      </c>
      <c r="X23" s="11" t="n">
        <f aca="false">X15*Inputs!$E$20+X16*Inputs!$E$21</f>
        <v>6500</v>
      </c>
      <c r="Y23" s="11" t="n">
        <f aca="false">Y15*Inputs!$E$20+Y16*Inputs!$E$21</f>
        <v>10500</v>
      </c>
      <c r="Z23" s="11" t="n">
        <f aca="false">Z15*Inputs!$E$20+Z16*Inputs!$E$21</f>
        <v>7000</v>
      </c>
      <c r="AA23" s="11" t="n">
        <f aca="false">AA15*Inputs!$E$20+AA16*Inputs!$E$21</f>
        <v>11000</v>
      </c>
      <c r="AB23" s="11" t="n">
        <f aca="false">AB15*Inputs!$E$20+AB16*Inputs!$E$21</f>
        <v>7500</v>
      </c>
      <c r="AC23" s="11" t="n">
        <f aca="false">AC15*Inputs!$E$20+AC16*Inputs!$E$21</f>
        <v>11500</v>
      </c>
      <c r="AD23" s="11" t="n">
        <f aca="false">AD15*Inputs!$E$20+AD16*Inputs!$E$21</f>
        <v>8000</v>
      </c>
      <c r="AE23" s="11" t="n">
        <f aca="false">AE15*Inputs!$E$20+AE16*Inputs!$E$21</f>
        <v>12000</v>
      </c>
      <c r="AF23" s="11" t="n">
        <f aca="false">AF15*Inputs!$E$20+AF16*Inputs!$E$21</f>
        <v>8500</v>
      </c>
      <c r="AG23" s="11" t="n">
        <f aca="false">AG15*Inputs!$E$20+AG16*Inputs!$E$21</f>
        <v>12500</v>
      </c>
      <c r="AH23" s="11" t="n">
        <f aca="false">AH15*Inputs!$E$20+AH16*Inputs!$E$21</f>
        <v>9000</v>
      </c>
      <c r="AI23" s="11" t="n">
        <f aca="false">AI15*Inputs!$E$20+AI16*Inputs!$E$21</f>
        <v>9000</v>
      </c>
      <c r="AJ23" s="11" t="n">
        <f aca="false">AJ15*Inputs!$E$20+AJ16*Inputs!$E$21</f>
        <v>9000</v>
      </c>
      <c r="AK23" s="11" t="n">
        <f aca="false">AK15*Inputs!$E$20+AK16*Inputs!$E$21</f>
        <v>9000</v>
      </c>
      <c r="AL23" s="11" t="n">
        <f aca="false">AL15*Inputs!$E$20+AL16*Inputs!$E$21</f>
        <v>9000</v>
      </c>
    </row>
    <row r="24" customFormat="false" ht="15" hidden="false" customHeight="false" outlineLevel="0" collapsed="false">
      <c r="A24" s="2" t="s">
        <v>116</v>
      </c>
      <c r="B24" s="4"/>
      <c r="C24" s="7" t="n">
        <f aca="false">Schedules!C18</f>
        <v>0</v>
      </c>
      <c r="D24" s="7" t="n">
        <f aca="false">Schedules!D18</f>
        <v>0</v>
      </c>
      <c r="E24" s="7" t="n">
        <f aca="false">Schedules!E18</f>
        <v>0</v>
      </c>
      <c r="F24" s="7" t="n">
        <f aca="false">Schedules!F18</f>
        <v>0</v>
      </c>
      <c r="G24" s="7" t="n">
        <f aca="false">Schedules!G18</f>
        <v>0</v>
      </c>
      <c r="H24" s="7" t="n">
        <f aca="false">Schedules!H18</f>
        <v>5000</v>
      </c>
      <c r="I24" s="7" t="n">
        <f aca="false">Schedules!I18</f>
        <v>0</v>
      </c>
      <c r="J24" s="7" t="n">
        <f aca="false">Schedules!J18</f>
        <v>4000</v>
      </c>
      <c r="K24" s="7" t="n">
        <f aca="false">Schedules!K18</f>
        <v>0</v>
      </c>
      <c r="L24" s="7" t="n">
        <f aca="false">Schedules!L18</f>
        <v>0</v>
      </c>
      <c r="M24" s="7" t="n">
        <f aca="false">Schedules!M18</f>
        <v>0</v>
      </c>
      <c r="N24" s="7" t="n">
        <f aca="false">Schedules!N18</f>
        <v>0</v>
      </c>
      <c r="O24" s="7" t="n">
        <f aca="false">Schedules!O18</f>
        <v>0</v>
      </c>
      <c r="P24" s="7" t="n">
        <f aca="false">Schedules!P18</f>
        <v>0</v>
      </c>
      <c r="Q24" s="7" t="n">
        <f aca="false">Schedules!Q18</f>
        <v>0</v>
      </c>
      <c r="R24" s="7" t="n">
        <f aca="false">Schedules!R18</f>
        <v>0</v>
      </c>
      <c r="S24" s="7" t="n">
        <f aca="false">Schedules!S18</f>
        <v>0</v>
      </c>
      <c r="T24" s="7" t="n">
        <f aca="false">Schedules!T18</f>
        <v>0</v>
      </c>
      <c r="U24" s="7" t="n">
        <f aca="false">Schedules!U18</f>
        <v>20000</v>
      </c>
      <c r="V24" s="7" t="n">
        <f aca="false">Schedules!V18</f>
        <v>0</v>
      </c>
      <c r="W24" s="7" t="n">
        <f aca="false">Schedules!W18</f>
        <v>0</v>
      </c>
      <c r="X24" s="7" t="n">
        <f aca="false">Schedules!X18</f>
        <v>0</v>
      </c>
      <c r="Y24" s="7" t="n">
        <f aca="false">Schedules!Y18</f>
        <v>0</v>
      </c>
      <c r="Z24" s="7" t="n">
        <f aca="false">Schedules!Z18</f>
        <v>0</v>
      </c>
      <c r="AA24" s="7" t="n">
        <f aca="false">Schedules!AA18</f>
        <v>0</v>
      </c>
      <c r="AB24" s="7" t="n">
        <f aca="false">Schedules!AB18</f>
        <v>0</v>
      </c>
      <c r="AC24" s="7" t="n">
        <f aca="false">Schedules!AC18</f>
        <v>0</v>
      </c>
      <c r="AD24" s="7" t="n">
        <f aca="false">Schedules!AD18</f>
        <v>20000</v>
      </c>
      <c r="AE24" s="7" t="n">
        <f aca="false">Schedules!AE18</f>
        <v>0</v>
      </c>
      <c r="AF24" s="7" t="n">
        <f aca="false">Schedules!AF18</f>
        <v>0</v>
      </c>
      <c r="AG24" s="7" t="n">
        <f aca="false">Schedules!AG18</f>
        <v>0</v>
      </c>
      <c r="AH24" s="7" t="n">
        <f aca="false">Schedules!AH18</f>
        <v>0</v>
      </c>
      <c r="AI24" s="7" t="n">
        <f aca="false">Schedules!AI18</f>
        <v>20000</v>
      </c>
      <c r="AJ24" s="7" t="n">
        <f aca="false">Schedules!AJ18</f>
        <v>0</v>
      </c>
      <c r="AK24" s="7" t="n">
        <f aca="false">Schedules!AK18</f>
        <v>0</v>
      </c>
      <c r="AL24" s="7" t="n">
        <f aca="false">Schedules!AL18</f>
        <v>0</v>
      </c>
    </row>
    <row r="25" customFormat="false" ht="15" hidden="false" customHeight="false" outlineLevel="0" collapsed="false">
      <c r="A25" s="3" t="s">
        <v>207</v>
      </c>
      <c r="B25" s="4"/>
      <c r="C25" s="11" t="n">
        <f aca="false">SUM(C19:C24)</f>
        <v>10000</v>
      </c>
      <c r="D25" s="11" t="n">
        <f aca="false">SUM(D19:D24)</f>
        <v>4000</v>
      </c>
      <c r="E25" s="11" t="n">
        <f aca="false">SUM(E19:E24)</f>
        <v>16740</v>
      </c>
      <c r="F25" s="11" t="n">
        <f aca="false">SUM(F19:F24)</f>
        <v>4800</v>
      </c>
      <c r="G25" s="11" t="n">
        <f aca="false">SUM(G19:G24)</f>
        <v>8800</v>
      </c>
      <c r="H25" s="11" t="n">
        <f aca="false">SUM(H19:H24)</f>
        <v>20300</v>
      </c>
      <c r="I25" s="11" t="n">
        <f aca="false">SUM(I19:I24)</f>
        <v>9800</v>
      </c>
      <c r="J25" s="11" t="n">
        <f aca="false">SUM(J19:J24)</f>
        <v>31540</v>
      </c>
      <c r="K25" s="11" t="n">
        <f aca="false">SUM(K19:K24)</f>
        <v>12800</v>
      </c>
      <c r="L25" s="11" t="n">
        <f aca="false">SUM(L19:L24)</f>
        <v>30540</v>
      </c>
      <c r="M25" s="11" t="n">
        <f aca="false">SUM(M19:M24)</f>
        <v>16300</v>
      </c>
      <c r="N25" s="11" t="n">
        <f aca="false">SUM(N19:N24)</f>
        <v>24540</v>
      </c>
      <c r="O25" s="11" t="n">
        <f aca="false">SUM(O19:O24)</f>
        <v>29940</v>
      </c>
      <c r="P25" s="11" t="n">
        <f aca="false">SUM(P19:P24)</f>
        <v>30440</v>
      </c>
      <c r="Q25" s="11" t="n">
        <f aca="false">SUM(Q19:Q24)</f>
        <v>33705</v>
      </c>
      <c r="R25" s="11" t="n">
        <f aca="false">SUM(R19:R24)</f>
        <v>46330</v>
      </c>
      <c r="S25" s="11" t="n">
        <f aca="false">SUM(S19:S24)</f>
        <v>28215</v>
      </c>
      <c r="T25" s="11" t="n">
        <f aca="false">SUM(T19:T24)</f>
        <v>46480</v>
      </c>
      <c r="U25" s="11" t="n">
        <f aca="false">SUM(U19:U24)</f>
        <v>52390</v>
      </c>
      <c r="V25" s="11" t="n">
        <f aca="false">SUM(V19:V24)</f>
        <v>50130</v>
      </c>
      <c r="W25" s="11" t="n">
        <f aca="false">SUM(W19:W24)</f>
        <v>45540</v>
      </c>
      <c r="X25" s="11" t="n">
        <f aca="false">SUM(X19:X24)</f>
        <v>44280</v>
      </c>
      <c r="Y25" s="11" t="n">
        <f aca="false">SUM(Y19:Y24)</f>
        <v>60930</v>
      </c>
      <c r="Z25" s="11" t="n">
        <f aca="false">SUM(Z19:Z24)</f>
        <v>38815</v>
      </c>
      <c r="AA25" s="11" t="n">
        <f aca="false">SUM(AA19:AA24)</f>
        <v>66197</v>
      </c>
      <c r="AB25" s="11" t="n">
        <f aca="false">SUM(AB19:AB24)</f>
        <v>54264.5</v>
      </c>
      <c r="AC25" s="11" t="n">
        <f aca="false">SUM(AC19:AC24)</f>
        <v>60504.5</v>
      </c>
      <c r="AD25" s="11" t="n">
        <f aca="false">SUM(AD19:AD24)</f>
        <v>89812</v>
      </c>
      <c r="AE25" s="11" t="n">
        <f aca="false">SUM(AE19:AE24)</f>
        <v>55328.25</v>
      </c>
      <c r="AF25" s="11" t="n">
        <f aca="false">SUM(AF19:AF24)</f>
        <v>73619.5</v>
      </c>
      <c r="AG25" s="11" t="n">
        <f aca="false">SUM(AG19:AG24)</f>
        <v>69187</v>
      </c>
      <c r="AH25" s="11" t="n">
        <f aca="false">SUM(AH19:AH24)</f>
        <v>77427</v>
      </c>
      <c r="AI25" s="11" t="n">
        <f aca="false">SUM(AI19:AI24)</f>
        <v>100734.5</v>
      </c>
      <c r="AJ25" s="11" t="n">
        <f aca="false">SUM(AJ19:AJ24)</f>
        <v>83490.75</v>
      </c>
      <c r="AK25" s="11" t="n">
        <f aca="false">SUM(AK19:AK24)</f>
        <v>86798.25</v>
      </c>
      <c r="AL25" s="11" t="n">
        <f aca="false">SUM(AL19:AL24)</f>
        <v>80605.75</v>
      </c>
    </row>
    <row r="26" customFormat="false" ht="15" hidden="false" customHeight="false" outlineLevel="0" collapsed="false">
      <c r="A26" s="3" t="s">
        <v>208</v>
      </c>
      <c r="B26" s="4"/>
      <c r="C26" s="11" t="n">
        <f aca="false">C19+C20+C16*Inputs!$E$21</f>
        <v>0</v>
      </c>
      <c r="D26" s="11" t="n">
        <f aca="false">D19+D20+D16*Inputs!$E$21</f>
        <v>0</v>
      </c>
      <c r="E26" s="11" t="n">
        <f aca="false">E19+E20+E16*Inputs!$E$21</f>
        <v>500</v>
      </c>
      <c r="F26" s="11" t="n">
        <f aca="false">F19+F20+F16*Inputs!$E$21</f>
        <v>4800</v>
      </c>
      <c r="G26" s="11" t="n">
        <f aca="false">G19+G20+G16*Inputs!$E$21</f>
        <v>4800</v>
      </c>
      <c r="H26" s="11" t="n">
        <f aca="false">H19+H20+H16*Inputs!$E$21</f>
        <v>5800</v>
      </c>
      <c r="I26" s="11" t="n">
        <f aca="false">I19+I20+I16*Inputs!$E$21</f>
        <v>5800</v>
      </c>
      <c r="J26" s="11" t="n">
        <f aca="false">J19+J20+J16*Inputs!$E$21</f>
        <v>6300</v>
      </c>
      <c r="K26" s="11" t="n">
        <f aca="false">K19+K20+K16*Inputs!$E$21</f>
        <v>8800</v>
      </c>
      <c r="L26" s="11" t="n">
        <f aca="false">L19+L20+L16*Inputs!$E$21</f>
        <v>9300</v>
      </c>
      <c r="M26" s="11" t="n">
        <f aca="false">M19+M20+M16*Inputs!$E$21</f>
        <v>12300</v>
      </c>
      <c r="N26" s="11" t="n">
        <f aca="false">N19+N20+N16*Inputs!$E$21</f>
        <v>12800</v>
      </c>
      <c r="O26" s="11" t="n">
        <f aca="false">O19+O20+O16*Inputs!$E$21</f>
        <v>16440</v>
      </c>
      <c r="P26" s="11" t="n">
        <f aca="false">P19+P20+P16*Inputs!$E$21</f>
        <v>16940</v>
      </c>
      <c r="Q26" s="11" t="n">
        <f aca="false">Q19+Q20+Q16*Inputs!$E$21</f>
        <v>17965</v>
      </c>
      <c r="R26" s="11" t="n">
        <f aca="false">R19+R20+R16*Inputs!$E$21</f>
        <v>21090</v>
      </c>
      <c r="S26" s="11" t="n">
        <f aca="false">S19+S20+S16*Inputs!$E$21</f>
        <v>24215</v>
      </c>
      <c r="T26" s="11" t="n">
        <f aca="false">T19+T20+T16*Inputs!$E$21</f>
        <v>25240</v>
      </c>
      <c r="U26" s="11" t="n">
        <f aca="false">U19+U20+U16*Inputs!$E$21</f>
        <v>28390</v>
      </c>
      <c r="V26" s="11" t="n">
        <f aca="false">V19+V20+V16*Inputs!$E$21</f>
        <v>28890</v>
      </c>
      <c r="W26" s="11" t="n">
        <f aca="false">W19+W20+W16*Inputs!$E$21</f>
        <v>32040</v>
      </c>
      <c r="X26" s="11" t="n">
        <f aca="false">X19+X20+X16*Inputs!$E$21</f>
        <v>32540</v>
      </c>
      <c r="Y26" s="11" t="n">
        <f aca="false">Y19+Y20+Y16*Inputs!$E$21</f>
        <v>35690</v>
      </c>
      <c r="Z26" s="11" t="n">
        <f aca="false">Z19+Z20+Z16*Inputs!$E$21</f>
        <v>38815</v>
      </c>
      <c r="AA26" s="11" t="n">
        <f aca="false">AA19+AA20+AA16*Inputs!$E$21</f>
        <v>40957</v>
      </c>
      <c r="AB26" s="11" t="n">
        <f aca="false">AB19+AB20+AB16*Inputs!$E$21</f>
        <v>44764.5</v>
      </c>
      <c r="AC26" s="11" t="n">
        <f aca="false">AC19+AC20+AC16*Inputs!$E$21</f>
        <v>44764.5</v>
      </c>
      <c r="AD26" s="11" t="n">
        <f aca="false">AD19+AD20+AD16*Inputs!$E$21</f>
        <v>48572</v>
      </c>
      <c r="AE26" s="11" t="n">
        <f aca="false">AE19+AE20+AE16*Inputs!$E$21</f>
        <v>51328.25</v>
      </c>
      <c r="AF26" s="11" t="n">
        <f aca="false">AF19+AF20+AF16*Inputs!$E$21</f>
        <v>52379.5</v>
      </c>
      <c r="AG26" s="11" t="n">
        <f aca="false">AG19+AG20+AG16*Inputs!$E$21</f>
        <v>55687</v>
      </c>
      <c r="AH26" s="11" t="n">
        <f aca="false">AH19+AH20+AH16*Inputs!$E$21</f>
        <v>56187</v>
      </c>
      <c r="AI26" s="11" t="n">
        <f aca="false">AI19+AI20+AI16*Inputs!$E$21</f>
        <v>59494.5</v>
      </c>
      <c r="AJ26" s="11" t="n">
        <f aca="false">AJ19+AJ20+AJ16*Inputs!$E$21</f>
        <v>62250.75</v>
      </c>
      <c r="AK26" s="11" t="n">
        <f aca="false">AK19+AK20+AK16*Inputs!$E$21</f>
        <v>65558.25</v>
      </c>
      <c r="AL26" s="11" t="n">
        <f aca="false">AL19+AL20+AL16*Inputs!$E$21</f>
        <v>68865.75</v>
      </c>
    </row>
    <row r="27" customFormat="false" ht="15" hidden="false" customHeight="false" outlineLevel="0" collapsed="false">
      <c r="A27" s="14" t="s">
        <v>209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 customFormat="false" ht="15" hidden="false" customHeight="false" outlineLevel="0" collapsed="false">
      <c r="A28" s="2" t="s">
        <v>210</v>
      </c>
      <c r="B28" s="4"/>
      <c r="C28" s="11" t="n">
        <f aca="false">C21*(1-Inputs!$E$23)+C19*(1-Inputs!$E$24)+C20*(1-Inputs!$E$25)+C22*(1-Inputs!$E$26)+C23*(1-Inputs!$E$27)+C24*(1-Inputs!$E$28)</f>
        <v>4500</v>
      </c>
      <c r="D28" s="11" t="n">
        <f aca="false">D21*(1-Inputs!$E$23)+D19*(1-Inputs!$E$24)+D20*(1-Inputs!$E$25)+D22*(1-Inputs!$E$26)+D23*(1-Inputs!$E$27)+D24*(1-Inputs!$E$28)</f>
        <v>800</v>
      </c>
      <c r="E28" s="11" t="n">
        <f aca="false">E21*(1-Inputs!$E$23)+E19*(1-Inputs!$E$24)+E20*(1-Inputs!$E$25)+E22*(1-Inputs!$E$26)+E23*(1-Inputs!$E$27)+E24*(1-Inputs!$E$28)</f>
        <v>5400</v>
      </c>
      <c r="F28" s="11" t="n">
        <f aca="false">F21*(1-Inputs!$E$23)+F19*(1-Inputs!$E$24)+F20*(1-Inputs!$E$25)+F22*(1-Inputs!$E$26)+F23*(1-Inputs!$E$27)+F24*(1-Inputs!$E$28)</f>
        <v>1340</v>
      </c>
      <c r="G28" s="11" t="n">
        <f aca="false">G21*(1-Inputs!$E$23)+G19*(1-Inputs!$E$24)+G20*(1-Inputs!$E$25)+G22*(1-Inputs!$E$26)+G23*(1-Inputs!$E$27)+G24*(1-Inputs!$E$28)</f>
        <v>2140</v>
      </c>
      <c r="H28" s="11" t="n">
        <f aca="false">H21*(1-Inputs!$E$23)+H19*(1-Inputs!$E$24)+H20*(1-Inputs!$E$25)+H22*(1-Inputs!$E$26)+H23*(1-Inputs!$E$27)+H24*(1-Inputs!$E$28)</f>
        <v>7540</v>
      </c>
      <c r="I28" s="11" t="n">
        <f aca="false">I21*(1-Inputs!$E$23)+I19*(1-Inputs!$E$24)+I20*(1-Inputs!$E$25)+I22*(1-Inputs!$E$26)+I23*(1-Inputs!$E$27)+I24*(1-Inputs!$E$28)</f>
        <v>2315</v>
      </c>
      <c r="J28" s="11" t="n">
        <f aca="false">J21*(1-Inputs!$E$23)+J19*(1-Inputs!$E$24)+J20*(1-Inputs!$E$25)+J22*(1-Inputs!$E$26)+J23*(1-Inputs!$E$27)+J24*(1-Inputs!$E$28)</f>
        <v>11565</v>
      </c>
      <c r="K28" s="11" t="n">
        <f aca="false">K21*(1-Inputs!$E$23)+K19*(1-Inputs!$E$24)+K20*(1-Inputs!$E$25)+K22*(1-Inputs!$E$26)+K23*(1-Inputs!$E$27)+K24*(1-Inputs!$E$28)</f>
        <v>3165</v>
      </c>
      <c r="L28" s="11" t="n">
        <f aca="false">L21*(1-Inputs!$E$23)+L19*(1-Inputs!$E$24)+L20*(1-Inputs!$E$25)+L22*(1-Inputs!$E$26)+L23*(1-Inputs!$E$27)+L24*(1-Inputs!$E$28)</f>
        <v>11015</v>
      </c>
      <c r="M28" s="11" t="n">
        <f aca="false">M21*(1-Inputs!$E$23)+M19*(1-Inputs!$E$24)+M20*(1-Inputs!$E$25)+M22*(1-Inputs!$E$26)+M23*(1-Inputs!$E$27)+M24*(1-Inputs!$E$28)</f>
        <v>4090</v>
      </c>
      <c r="N28" s="11" t="n">
        <f aca="false">N21*(1-Inputs!$E$23)+N19*(1-Inputs!$E$24)+N20*(1-Inputs!$E$25)+N22*(1-Inputs!$E$26)+N23*(1-Inputs!$E$27)+N24*(1-Inputs!$E$28)</f>
        <v>7665</v>
      </c>
      <c r="O28" s="11" t="n">
        <f aca="false">O21*(1-Inputs!$E$23)+O19*(1-Inputs!$E$24)+O20*(1-Inputs!$E$25)+O22*(1-Inputs!$E$26)+O23*(1-Inputs!$E$27)+O24*(1-Inputs!$E$28)</f>
        <v>9470.75</v>
      </c>
      <c r="P28" s="11" t="n">
        <f aca="false">P21*(1-Inputs!$E$23)+P19*(1-Inputs!$E$24)+P20*(1-Inputs!$E$25)+P22*(1-Inputs!$E$26)+P23*(1-Inputs!$E$27)+P24*(1-Inputs!$E$28)</f>
        <v>9570.75</v>
      </c>
      <c r="Q28" s="11" t="n">
        <f aca="false">Q21*(1-Inputs!$E$23)+Q19*(1-Inputs!$E$24)+Q20*(1-Inputs!$E$25)+Q22*(1-Inputs!$E$26)+Q23*(1-Inputs!$E$27)+Q24*(1-Inputs!$E$28)</f>
        <v>9749.5</v>
      </c>
      <c r="R28" s="11" t="n">
        <f aca="false">R21*(1-Inputs!$E$23)+R19*(1-Inputs!$E$24)+R20*(1-Inputs!$E$25)+R22*(1-Inputs!$E$26)+R23*(1-Inputs!$E$27)+R24*(1-Inputs!$E$28)</f>
        <v>14912</v>
      </c>
      <c r="S28" s="11" t="n">
        <f aca="false">S21*(1-Inputs!$E$23)+S19*(1-Inputs!$E$24)+S20*(1-Inputs!$E$25)+S22*(1-Inputs!$E$26)+S23*(1-Inputs!$E$27)+S24*(1-Inputs!$E$28)</f>
        <v>7249.5</v>
      </c>
      <c r="T28" s="11" t="n">
        <f aca="false">T21*(1-Inputs!$E$23)+T19*(1-Inputs!$E$24)+T20*(1-Inputs!$E$25)+T22*(1-Inputs!$E$26)+T23*(1-Inputs!$E$27)+T24*(1-Inputs!$E$28)</f>
        <v>15178.25</v>
      </c>
      <c r="U28" s="11" t="n">
        <f aca="false">U21*(1-Inputs!$E$23)+U19*(1-Inputs!$E$24)+U20*(1-Inputs!$E$25)+U22*(1-Inputs!$E$26)+U23*(1-Inputs!$E$27)+U24*(1-Inputs!$E$28)</f>
        <v>15294.5</v>
      </c>
      <c r="V28" s="11" t="n">
        <f aca="false">V21*(1-Inputs!$E$23)+V19*(1-Inputs!$E$24)+V20*(1-Inputs!$E$25)+V22*(1-Inputs!$E$26)+V23*(1-Inputs!$E$27)+V24*(1-Inputs!$E$28)</f>
        <v>16144.5</v>
      </c>
      <c r="W28" s="11" t="n">
        <f aca="false">W21*(1-Inputs!$E$23)+W19*(1-Inputs!$E$24)+W20*(1-Inputs!$E$25)+W22*(1-Inputs!$E$26)+W23*(1-Inputs!$E$27)+W24*(1-Inputs!$E$28)</f>
        <v>13535.75</v>
      </c>
      <c r="X28" s="11" t="n">
        <f aca="false">X21*(1-Inputs!$E$23)+X19*(1-Inputs!$E$24)+X20*(1-Inputs!$E$25)+X22*(1-Inputs!$E$26)+X23*(1-Inputs!$E$27)+X24*(1-Inputs!$E$28)</f>
        <v>12835.75</v>
      </c>
      <c r="Y28" s="11" t="n">
        <f aca="false">Y21*(1-Inputs!$E$23)+Y19*(1-Inputs!$E$24)+Y20*(1-Inputs!$E$25)+Y22*(1-Inputs!$E$26)+Y23*(1-Inputs!$E$27)+Y24*(1-Inputs!$E$28)</f>
        <v>18777</v>
      </c>
      <c r="Z28" s="11" t="n">
        <f aca="false">Z21*(1-Inputs!$E$23)+Z19*(1-Inputs!$E$24)+Z20*(1-Inputs!$E$25)+Z22*(1-Inputs!$E$26)+Z23*(1-Inputs!$E$27)+Z24*(1-Inputs!$E$28)</f>
        <v>10314.5</v>
      </c>
      <c r="AA28" s="11" t="n">
        <f aca="false">AA21*(1-Inputs!$E$23)+AA19*(1-Inputs!$E$24)+AA20*(1-Inputs!$E$25)+AA22*(1-Inputs!$E$26)+AA23*(1-Inputs!$E$27)+AA24*(1-Inputs!$E$28)</f>
        <v>20192.9125</v>
      </c>
      <c r="AB28" s="11" t="n">
        <f aca="false">AB21*(1-Inputs!$E$23)+AB19*(1-Inputs!$E$24)+AB20*(1-Inputs!$E$25)+AB22*(1-Inputs!$E$26)+AB23*(1-Inputs!$E$27)+AB24*(1-Inputs!$E$28)</f>
        <v>16127.475</v>
      </c>
      <c r="AC28" s="11" t="n">
        <f aca="false">AC21*(1-Inputs!$E$23)+AC19*(1-Inputs!$E$24)+AC20*(1-Inputs!$E$25)+AC22*(1-Inputs!$E$26)+AC23*(1-Inputs!$E$27)+AC24*(1-Inputs!$E$28)</f>
        <v>16927.475</v>
      </c>
      <c r="AD28" s="11" t="n">
        <f aca="false">AD21*(1-Inputs!$E$23)+AD19*(1-Inputs!$E$24)+AD20*(1-Inputs!$E$25)+AD22*(1-Inputs!$E$26)+AD23*(1-Inputs!$E$27)+AD24*(1-Inputs!$E$28)</f>
        <v>28412.0375</v>
      </c>
      <c r="AE28" s="11" t="n">
        <f aca="false">AE21*(1-Inputs!$E$23)+AE19*(1-Inputs!$E$24)+AE20*(1-Inputs!$E$25)+AE22*(1-Inputs!$E$26)+AE23*(1-Inputs!$E$27)+AE24*(1-Inputs!$E$28)</f>
        <v>14488.9125</v>
      </c>
      <c r="AF28" s="11" t="n">
        <f aca="false">AF21*(1-Inputs!$E$23)+AF19*(1-Inputs!$E$24)+AF20*(1-Inputs!$E$25)+AF22*(1-Inputs!$E$26)+AF23*(1-Inputs!$E$27)+AF24*(1-Inputs!$E$28)</f>
        <v>22421.6</v>
      </c>
      <c r="AG28" s="11" t="n">
        <f aca="false">AG21*(1-Inputs!$E$23)+AG19*(1-Inputs!$E$24)+AG20*(1-Inputs!$E$25)+AG22*(1-Inputs!$E$26)+AG23*(1-Inputs!$E$27)+AG24*(1-Inputs!$E$28)</f>
        <v>19856.1625</v>
      </c>
      <c r="AH28" s="11" t="n">
        <f aca="false">AH21*(1-Inputs!$E$23)+AH19*(1-Inputs!$E$24)+AH20*(1-Inputs!$E$25)+AH22*(1-Inputs!$E$26)+AH23*(1-Inputs!$E$27)+AH24*(1-Inputs!$E$28)</f>
        <v>23431.1625</v>
      </c>
      <c r="AI28" s="11" t="n">
        <f aca="false">AI21*(1-Inputs!$E$23)+AI19*(1-Inputs!$E$24)+AI20*(1-Inputs!$E$25)+AI22*(1-Inputs!$E$26)+AI23*(1-Inputs!$E$27)+AI24*(1-Inputs!$E$28)</f>
        <v>31340.725</v>
      </c>
      <c r="AJ28" s="11" t="n">
        <f aca="false">AJ21*(1-Inputs!$E$23)+AJ19*(1-Inputs!$E$24)+AJ20*(1-Inputs!$E$25)+AJ22*(1-Inputs!$E$26)+AJ23*(1-Inputs!$E$27)+AJ24*(1-Inputs!$E$28)</f>
        <v>25167.6</v>
      </c>
      <c r="AK28" s="11" t="n">
        <f aca="false">AK21*(1-Inputs!$E$23)+AK19*(1-Inputs!$E$24)+AK20*(1-Inputs!$E$25)+AK22*(1-Inputs!$E$26)+AK23*(1-Inputs!$E$27)+AK24*(1-Inputs!$E$28)</f>
        <v>26077.1625</v>
      </c>
      <c r="AL28" s="11" t="n">
        <f aca="false">AL21*(1-Inputs!$E$23)+AL19*(1-Inputs!$E$24)+AL20*(1-Inputs!$E$25)+AL22*(1-Inputs!$E$26)+AL23*(1-Inputs!$E$27)+AL24*(1-Inputs!$E$28)</f>
        <v>22711.725</v>
      </c>
    </row>
    <row r="29" customFormat="false" ht="15" hidden="false" customHeight="false" outlineLevel="0" collapsed="false">
      <c r="A29" s="3" t="s">
        <v>211</v>
      </c>
      <c r="B29" s="4"/>
      <c r="C29" s="11" t="n">
        <f aca="false">C25-C28</f>
        <v>5500</v>
      </c>
      <c r="D29" s="11" t="n">
        <f aca="false">D25-D28</f>
        <v>3200</v>
      </c>
      <c r="E29" s="11" t="n">
        <f aca="false">E25-E28</f>
        <v>11340</v>
      </c>
      <c r="F29" s="11" t="n">
        <f aca="false">F25-F28</f>
        <v>3460</v>
      </c>
      <c r="G29" s="11" t="n">
        <f aca="false">G25-G28</f>
        <v>6660</v>
      </c>
      <c r="H29" s="11" t="n">
        <f aca="false">H25-H28</f>
        <v>12760</v>
      </c>
      <c r="I29" s="11" t="n">
        <f aca="false">I25-I28</f>
        <v>7485</v>
      </c>
      <c r="J29" s="11" t="n">
        <f aca="false">J25-J28</f>
        <v>19975</v>
      </c>
      <c r="K29" s="11" t="n">
        <f aca="false">K25-K28</f>
        <v>9635</v>
      </c>
      <c r="L29" s="11" t="n">
        <f aca="false">L25-L28</f>
        <v>19525</v>
      </c>
      <c r="M29" s="11" t="n">
        <f aca="false">M25-M28</f>
        <v>12210</v>
      </c>
      <c r="N29" s="11" t="n">
        <f aca="false">N25-N28</f>
        <v>16875</v>
      </c>
      <c r="O29" s="11" t="n">
        <f aca="false">O25-O28</f>
        <v>20469.25</v>
      </c>
      <c r="P29" s="11" t="n">
        <f aca="false">P25-P28</f>
        <v>20869.25</v>
      </c>
      <c r="Q29" s="11" t="n">
        <f aca="false">Q25-Q28</f>
        <v>23955.5</v>
      </c>
      <c r="R29" s="11" t="n">
        <f aca="false">R25-R28</f>
        <v>31418</v>
      </c>
      <c r="S29" s="11" t="n">
        <f aca="false">S25-S28</f>
        <v>20965.5</v>
      </c>
      <c r="T29" s="11" t="n">
        <f aca="false">T25-T28</f>
        <v>31301.75</v>
      </c>
      <c r="U29" s="11" t="n">
        <f aca="false">U25-U28</f>
        <v>37095.5</v>
      </c>
      <c r="V29" s="11" t="n">
        <f aca="false">V25-V28</f>
        <v>33985.5</v>
      </c>
      <c r="W29" s="11" t="n">
        <f aca="false">W25-W28</f>
        <v>32004.25</v>
      </c>
      <c r="X29" s="11" t="n">
        <f aca="false">X25-X28</f>
        <v>31444.25</v>
      </c>
      <c r="Y29" s="11" t="n">
        <f aca="false">Y25-Y28</f>
        <v>42153</v>
      </c>
      <c r="Z29" s="11" t="n">
        <f aca="false">Z25-Z28</f>
        <v>28500.5</v>
      </c>
      <c r="AA29" s="11" t="n">
        <f aca="false">AA25-AA28</f>
        <v>46004.0875</v>
      </c>
      <c r="AB29" s="11" t="n">
        <f aca="false">AB25-AB28</f>
        <v>38137.025</v>
      </c>
      <c r="AC29" s="11" t="n">
        <f aca="false">AC25-AC28</f>
        <v>43577.025</v>
      </c>
      <c r="AD29" s="11" t="n">
        <f aca="false">AD25-AD28</f>
        <v>61399.9625</v>
      </c>
      <c r="AE29" s="11" t="n">
        <f aca="false">AE25-AE28</f>
        <v>40839.3375</v>
      </c>
      <c r="AF29" s="11" t="n">
        <f aca="false">AF25-AF28</f>
        <v>51197.9</v>
      </c>
      <c r="AG29" s="11" t="n">
        <f aca="false">AG25-AG28</f>
        <v>49330.8375</v>
      </c>
      <c r="AH29" s="11" t="n">
        <f aca="false">AH25-AH28</f>
        <v>53995.8375</v>
      </c>
      <c r="AI29" s="11" t="n">
        <f aca="false">AI25-AI28</f>
        <v>69393.775</v>
      </c>
      <c r="AJ29" s="11" t="n">
        <f aca="false">AJ25-AJ28</f>
        <v>58323.15</v>
      </c>
      <c r="AK29" s="11" t="n">
        <f aca="false">AK25-AK28</f>
        <v>60721.0875</v>
      </c>
      <c r="AL29" s="11" t="n">
        <f aca="false">AL25-AL28</f>
        <v>57894.025</v>
      </c>
    </row>
    <row r="30" customFormat="false" ht="15" hidden="false" customHeight="false" outlineLevel="0" collapsed="false">
      <c r="A30" s="14" t="s">
        <v>212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 customFormat="false" ht="15" hidden="false" customHeight="false" outlineLevel="0" collapsed="false">
      <c r="A31" s="2" t="s">
        <v>213</v>
      </c>
      <c r="B31" s="4"/>
      <c r="C31" s="11" t="n">
        <f aca="false">CHOOSE(C$3,Inputs!$E$30,Inputs!$E$31,Inputs!$E$32)/12</f>
        <v>5833.33333333333</v>
      </c>
      <c r="D31" s="11" t="n">
        <f aca="false">CHOOSE(D$3,Inputs!$E$30,Inputs!$E$31,Inputs!$E$32)/12</f>
        <v>5833.33333333333</v>
      </c>
      <c r="E31" s="11" t="n">
        <f aca="false">CHOOSE(E$3,Inputs!$E$30,Inputs!$E$31,Inputs!$E$32)/12</f>
        <v>5833.33333333333</v>
      </c>
      <c r="F31" s="11" t="n">
        <f aca="false">CHOOSE(F$3,Inputs!$E$30,Inputs!$E$31,Inputs!$E$32)/12</f>
        <v>5833.33333333333</v>
      </c>
      <c r="G31" s="11" t="n">
        <f aca="false">CHOOSE(G$3,Inputs!$E$30,Inputs!$E$31,Inputs!$E$32)/12</f>
        <v>5833.33333333333</v>
      </c>
      <c r="H31" s="11" t="n">
        <f aca="false">CHOOSE(H$3,Inputs!$E$30,Inputs!$E$31,Inputs!$E$32)/12</f>
        <v>5833.33333333333</v>
      </c>
      <c r="I31" s="11" t="n">
        <f aca="false">CHOOSE(I$3,Inputs!$E$30,Inputs!$E$31,Inputs!$E$32)/12</f>
        <v>5833.33333333333</v>
      </c>
      <c r="J31" s="11" t="n">
        <f aca="false">CHOOSE(J$3,Inputs!$E$30,Inputs!$E$31,Inputs!$E$32)/12</f>
        <v>5833.33333333333</v>
      </c>
      <c r="K31" s="11" t="n">
        <f aca="false">CHOOSE(K$3,Inputs!$E$30,Inputs!$E$31,Inputs!$E$32)/12</f>
        <v>5833.33333333333</v>
      </c>
      <c r="L31" s="11" t="n">
        <f aca="false">CHOOSE(L$3,Inputs!$E$30,Inputs!$E$31,Inputs!$E$32)/12</f>
        <v>5833.33333333333</v>
      </c>
      <c r="M31" s="11" t="n">
        <f aca="false">CHOOSE(M$3,Inputs!$E$30,Inputs!$E$31,Inputs!$E$32)/12</f>
        <v>5833.33333333333</v>
      </c>
      <c r="N31" s="11" t="n">
        <f aca="false">CHOOSE(N$3,Inputs!$E$30,Inputs!$E$31,Inputs!$E$32)/12</f>
        <v>5833.33333333333</v>
      </c>
      <c r="O31" s="11" t="n">
        <f aca="false">CHOOSE(O$3,Inputs!$E$30,Inputs!$E$31,Inputs!$E$32)/12</f>
        <v>8333.33333333333</v>
      </c>
      <c r="P31" s="11" t="n">
        <f aca="false">CHOOSE(P$3,Inputs!$E$30,Inputs!$E$31,Inputs!$E$32)/12</f>
        <v>8333.33333333333</v>
      </c>
      <c r="Q31" s="11" t="n">
        <f aca="false">CHOOSE(Q$3,Inputs!$E$30,Inputs!$E$31,Inputs!$E$32)/12</f>
        <v>8333.33333333333</v>
      </c>
      <c r="R31" s="11" t="n">
        <f aca="false">CHOOSE(R$3,Inputs!$E$30,Inputs!$E$31,Inputs!$E$32)/12</f>
        <v>8333.33333333333</v>
      </c>
      <c r="S31" s="11" t="n">
        <f aca="false">CHOOSE(S$3,Inputs!$E$30,Inputs!$E$31,Inputs!$E$32)/12</f>
        <v>8333.33333333333</v>
      </c>
      <c r="T31" s="11" t="n">
        <f aca="false">CHOOSE(T$3,Inputs!$E$30,Inputs!$E$31,Inputs!$E$32)/12</f>
        <v>8333.33333333333</v>
      </c>
      <c r="U31" s="11" t="n">
        <f aca="false">CHOOSE(U$3,Inputs!$E$30,Inputs!$E$31,Inputs!$E$32)/12</f>
        <v>8333.33333333333</v>
      </c>
      <c r="V31" s="11" t="n">
        <f aca="false">CHOOSE(V$3,Inputs!$E$30,Inputs!$E$31,Inputs!$E$32)/12</f>
        <v>8333.33333333333</v>
      </c>
      <c r="W31" s="11" t="n">
        <f aca="false">CHOOSE(W$3,Inputs!$E$30,Inputs!$E$31,Inputs!$E$32)/12</f>
        <v>8333.33333333333</v>
      </c>
      <c r="X31" s="11" t="n">
        <f aca="false">CHOOSE(X$3,Inputs!$E$30,Inputs!$E$31,Inputs!$E$32)/12</f>
        <v>8333.33333333333</v>
      </c>
      <c r="Y31" s="11" t="n">
        <f aca="false">CHOOSE(Y$3,Inputs!$E$30,Inputs!$E$31,Inputs!$E$32)/12</f>
        <v>8333.33333333333</v>
      </c>
      <c r="Z31" s="11" t="n">
        <f aca="false">CHOOSE(Z$3,Inputs!$E$30,Inputs!$E$31,Inputs!$E$32)/12</f>
        <v>8333.33333333333</v>
      </c>
      <c r="AA31" s="11" t="n">
        <f aca="false">CHOOSE(AA$3,Inputs!$E$30,Inputs!$E$31,Inputs!$E$32)/12</f>
        <v>10833.3333333333</v>
      </c>
      <c r="AB31" s="11" t="n">
        <f aca="false">CHOOSE(AB$3,Inputs!$E$30,Inputs!$E$31,Inputs!$E$32)/12</f>
        <v>10833.3333333333</v>
      </c>
      <c r="AC31" s="11" t="n">
        <f aca="false">CHOOSE(AC$3,Inputs!$E$30,Inputs!$E$31,Inputs!$E$32)/12</f>
        <v>10833.3333333333</v>
      </c>
      <c r="AD31" s="11" t="n">
        <f aca="false">CHOOSE(AD$3,Inputs!$E$30,Inputs!$E$31,Inputs!$E$32)/12</f>
        <v>10833.3333333333</v>
      </c>
      <c r="AE31" s="11" t="n">
        <f aca="false">CHOOSE(AE$3,Inputs!$E$30,Inputs!$E$31,Inputs!$E$32)/12</f>
        <v>10833.3333333333</v>
      </c>
      <c r="AF31" s="11" t="n">
        <f aca="false">CHOOSE(AF$3,Inputs!$E$30,Inputs!$E$31,Inputs!$E$32)/12</f>
        <v>10833.3333333333</v>
      </c>
      <c r="AG31" s="11" t="n">
        <f aca="false">CHOOSE(AG$3,Inputs!$E$30,Inputs!$E$31,Inputs!$E$32)/12</f>
        <v>10833.3333333333</v>
      </c>
      <c r="AH31" s="11" t="n">
        <f aca="false">CHOOSE(AH$3,Inputs!$E$30,Inputs!$E$31,Inputs!$E$32)/12</f>
        <v>10833.3333333333</v>
      </c>
      <c r="AI31" s="11" t="n">
        <f aca="false">CHOOSE(AI$3,Inputs!$E$30,Inputs!$E$31,Inputs!$E$32)/12</f>
        <v>10833.3333333333</v>
      </c>
      <c r="AJ31" s="11" t="n">
        <f aca="false">CHOOSE(AJ$3,Inputs!$E$30,Inputs!$E$31,Inputs!$E$32)/12</f>
        <v>10833.3333333333</v>
      </c>
      <c r="AK31" s="11" t="n">
        <f aca="false">CHOOSE(AK$3,Inputs!$E$30,Inputs!$E$31,Inputs!$E$32)/12</f>
        <v>10833.3333333333</v>
      </c>
      <c r="AL31" s="11" t="n">
        <f aca="false">CHOOSE(AL$3,Inputs!$E$30,Inputs!$E$31,Inputs!$E$32)/12</f>
        <v>10833.3333333333</v>
      </c>
    </row>
    <row r="32" customFormat="false" ht="15" hidden="false" customHeight="false" outlineLevel="0" collapsed="false">
      <c r="A32" s="2" t="s">
        <v>214</v>
      </c>
      <c r="B32" s="4"/>
      <c r="C32" s="11" t="n">
        <f aca="false">C31*Inputs!$E$33</f>
        <v>446.25</v>
      </c>
      <c r="D32" s="11" t="n">
        <f aca="false">D31*Inputs!$E$33</f>
        <v>446.25</v>
      </c>
      <c r="E32" s="11" t="n">
        <f aca="false">E31*Inputs!$E$33</f>
        <v>446.25</v>
      </c>
      <c r="F32" s="11" t="n">
        <f aca="false">F31*Inputs!$E$33</f>
        <v>446.25</v>
      </c>
      <c r="G32" s="11" t="n">
        <f aca="false">G31*Inputs!$E$33</f>
        <v>446.25</v>
      </c>
      <c r="H32" s="11" t="n">
        <f aca="false">H31*Inputs!$E$33</f>
        <v>446.25</v>
      </c>
      <c r="I32" s="11" t="n">
        <f aca="false">I31*Inputs!$E$33</f>
        <v>446.25</v>
      </c>
      <c r="J32" s="11" t="n">
        <f aca="false">J31*Inputs!$E$33</f>
        <v>446.25</v>
      </c>
      <c r="K32" s="11" t="n">
        <f aca="false">K31*Inputs!$E$33</f>
        <v>446.25</v>
      </c>
      <c r="L32" s="11" t="n">
        <f aca="false">L31*Inputs!$E$33</f>
        <v>446.25</v>
      </c>
      <c r="M32" s="11" t="n">
        <f aca="false">M31*Inputs!$E$33</f>
        <v>446.25</v>
      </c>
      <c r="N32" s="11" t="n">
        <f aca="false">N31*Inputs!$E$33</f>
        <v>446.25</v>
      </c>
      <c r="O32" s="11" t="n">
        <f aca="false">O31*Inputs!$E$33</f>
        <v>637.5</v>
      </c>
      <c r="P32" s="11" t="n">
        <f aca="false">P31*Inputs!$E$33</f>
        <v>637.5</v>
      </c>
      <c r="Q32" s="11" t="n">
        <f aca="false">Q31*Inputs!$E$33</f>
        <v>637.5</v>
      </c>
      <c r="R32" s="11" t="n">
        <f aca="false">R31*Inputs!$E$33</f>
        <v>637.5</v>
      </c>
      <c r="S32" s="11" t="n">
        <f aca="false">S31*Inputs!$E$33</f>
        <v>637.5</v>
      </c>
      <c r="T32" s="11" t="n">
        <f aca="false">T31*Inputs!$E$33</f>
        <v>637.5</v>
      </c>
      <c r="U32" s="11" t="n">
        <f aca="false">U31*Inputs!$E$33</f>
        <v>637.5</v>
      </c>
      <c r="V32" s="11" t="n">
        <f aca="false">V31*Inputs!$E$33</f>
        <v>637.5</v>
      </c>
      <c r="W32" s="11" t="n">
        <f aca="false">W31*Inputs!$E$33</f>
        <v>637.5</v>
      </c>
      <c r="X32" s="11" t="n">
        <f aca="false">X31*Inputs!$E$33</f>
        <v>637.5</v>
      </c>
      <c r="Y32" s="11" t="n">
        <f aca="false">Y31*Inputs!$E$33</f>
        <v>637.5</v>
      </c>
      <c r="Z32" s="11" t="n">
        <f aca="false">Z31*Inputs!$E$33</f>
        <v>637.5</v>
      </c>
      <c r="AA32" s="11" t="n">
        <f aca="false">AA31*Inputs!$E$33</f>
        <v>828.75</v>
      </c>
      <c r="AB32" s="11" t="n">
        <f aca="false">AB31*Inputs!$E$33</f>
        <v>828.75</v>
      </c>
      <c r="AC32" s="11" t="n">
        <f aca="false">AC31*Inputs!$E$33</f>
        <v>828.75</v>
      </c>
      <c r="AD32" s="11" t="n">
        <f aca="false">AD31*Inputs!$E$33</f>
        <v>828.75</v>
      </c>
      <c r="AE32" s="11" t="n">
        <f aca="false">AE31*Inputs!$E$33</f>
        <v>828.75</v>
      </c>
      <c r="AF32" s="11" t="n">
        <f aca="false">AF31*Inputs!$E$33</f>
        <v>828.75</v>
      </c>
      <c r="AG32" s="11" t="n">
        <f aca="false">AG31*Inputs!$E$33</f>
        <v>828.75</v>
      </c>
      <c r="AH32" s="11" t="n">
        <f aca="false">AH31*Inputs!$E$33</f>
        <v>828.75</v>
      </c>
      <c r="AI32" s="11" t="n">
        <f aca="false">AI31*Inputs!$E$33</f>
        <v>828.75</v>
      </c>
      <c r="AJ32" s="11" t="n">
        <f aca="false">AJ31*Inputs!$E$33</f>
        <v>828.75</v>
      </c>
      <c r="AK32" s="11" t="n">
        <f aca="false">AK31*Inputs!$E$33</f>
        <v>828.75</v>
      </c>
      <c r="AL32" s="11" t="n">
        <f aca="false">AL31*Inputs!$E$33</f>
        <v>828.75</v>
      </c>
    </row>
    <row r="33" customFormat="false" ht="15" hidden="false" customHeight="false" outlineLevel="0" collapsed="false">
      <c r="A33" s="2" t="s">
        <v>215</v>
      </c>
      <c r="B33" s="4"/>
      <c r="C33" s="11" t="n">
        <f aca="false">IF(C$2&gt;=Inputs!$E$34,Inputs!$E$35/12,0)+IF(C$2&gt;=Inputs!$E$36,Inputs!$E$37/12,0)</f>
        <v>0</v>
      </c>
      <c r="D33" s="11" t="n">
        <f aca="false">IF(D$2&gt;=Inputs!$E$34,Inputs!$E$35/12,0)+IF(D$2&gt;=Inputs!$E$36,Inputs!$E$37/12,0)</f>
        <v>0</v>
      </c>
      <c r="E33" s="11" t="n">
        <f aca="false">IF(E$2&gt;=Inputs!$E$34,Inputs!$E$35/12,0)+IF(E$2&gt;=Inputs!$E$36,Inputs!$E$37/12,0)</f>
        <v>0</v>
      </c>
      <c r="F33" s="11" t="n">
        <f aca="false">IF(F$2&gt;=Inputs!$E$34,Inputs!$E$35/12,0)+IF(F$2&gt;=Inputs!$E$36,Inputs!$E$37/12,0)</f>
        <v>0</v>
      </c>
      <c r="G33" s="11" t="n">
        <f aca="false">IF(G$2&gt;=Inputs!$E$34,Inputs!$E$35/12,0)+IF(G$2&gt;=Inputs!$E$36,Inputs!$E$37/12,0)</f>
        <v>0</v>
      </c>
      <c r="H33" s="11" t="n">
        <f aca="false">IF(H$2&gt;=Inputs!$E$34,Inputs!$E$35/12,0)+IF(H$2&gt;=Inputs!$E$36,Inputs!$E$37/12,0)</f>
        <v>0</v>
      </c>
      <c r="I33" s="11" t="n">
        <f aca="false">IF(I$2&gt;=Inputs!$E$34,Inputs!$E$35/12,0)+IF(I$2&gt;=Inputs!$E$36,Inputs!$E$37/12,0)</f>
        <v>0</v>
      </c>
      <c r="J33" s="11" t="n">
        <f aca="false">IF(J$2&gt;=Inputs!$E$34,Inputs!$E$35/12,0)+IF(J$2&gt;=Inputs!$E$36,Inputs!$E$37/12,0)</f>
        <v>0</v>
      </c>
      <c r="K33" s="11" t="n">
        <f aca="false">IF(K$2&gt;=Inputs!$E$34,Inputs!$E$35/12,0)+IF(K$2&gt;=Inputs!$E$36,Inputs!$E$37/12,0)</f>
        <v>0</v>
      </c>
      <c r="L33" s="11" t="n">
        <f aca="false">IF(L$2&gt;=Inputs!$E$34,Inputs!$E$35/12,0)+IF(L$2&gt;=Inputs!$E$36,Inputs!$E$37/12,0)</f>
        <v>0</v>
      </c>
      <c r="M33" s="11" t="n">
        <f aca="false">IF(M$2&gt;=Inputs!$E$34,Inputs!$E$35/12,0)+IF(M$2&gt;=Inputs!$E$36,Inputs!$E$37/12,0)</f>
        <v>0</v>
      </c>
      <c r="N33" s="11" t="n">
        <f aca="false">IF(N$2&gt;=Inputs!$E$34,Inputs!$E$35/12,0)+IF(N$2&gt;=Inputs!$E$36,Inputs!$E$37/12,0)</f>
        <v>0</v>
      </c>
      <c r="O33" s="11" t="n">
        <f aca="false">IF(O$2&gt;=Inputs!$E$34,Inputs!$E$35/12,0)+IF(O$2&gt;=Inputs!$E$36,Inputs!$E$37/12,0)</f>
        <v>0</v>
      </c>
      <c r="P33" s="11" t="n">
        <f aca="false">IF(P$2&gt;=Inputs!$E$34,Inputs!$E$35/12,0)+IF(P$2&gt;=Inputs!$E$36,Inputs!$E$37/12,0)</f>
        <v>0</v>
      </c>
      <c r="Q33" s="11" t="n">
        <f aca="false">IF(Q$2&gt;=Inputs!$E$34,Inputs!$E$35/12,0)+IF(Q$2&gt;=Inputs!$E$36,Inputs!$E$37/12,0)</f>
        <v>0</v>
      </c>
      <c r="R33" s="11" t="n">
        <f aca="false">IF(R$2&gt;=Inputs!$E$34,Inputs!$E$35/12,0)+IF(R$2&gt;=Inputs!$E$36,Inputs!$E$37/12,0)</f>
        <v>0</v>
      </c>
      <c r="S33" s="11" t="n">
        <f aca="false">IF(S$2&gt;=Inputs!$E$34,Inputs!$E$35/12,0)+IF(S$2&gt;=Inputs!$E$36,Inputs!$E$37/12,0)</f>
        <v>7291.66666666667</v>
      </c>
      <c r="T33" s="11" t="n">
        <f aca="false">IF(T$2&gt;=Inputs!$E$34,Inputs!$E$35/12,0)+IF(T$2&gt;=Inputs!$E$36,Inputs!$E$37/12,0)</f>
        <v>7291.66666666667</v>
      </c>
      <c r="U33" s="11" t="n">
        <f aca="false">IF(U$2&gt;=Inputs!$E$34,Inputs!$E$35/12,0)+IF(U$2&gt;=Inputs!$E$36,Inputs!$E$37/12,0)</f>
        <v>7291.66666666667</v>
      </c>
      <c r="V33" s="11" t="n">
        <f aca="false">IF(V$2&gt;=Inputs!$E$34,Inputs!$E$35/12,0)+IF(V$2&gt;=Inputs!$E$36,Inputs!$E$37/12,0)</f>
        <v>7291.66666666667</v>
      </c>
      <c r="W33" s="11" t="n">
        <f aca="false">IF(W$2&gt;=Inputs!$E$34,Inputs!$E$35/12,0)+IF(W$2&gt;=Inputs!$E$36,Inputs!$E$37/12,0)</f>
        <v>7291.66666666667</v>
      </c>
      <c r="X33" s="11" t="n">
        <f aca="false">IF(X$2&gt;=Inputs!$E$34,Inputs!$E$35/12,0)+IF(X$2&gt;=Inputs!$E$36,Inputs!$E$37/12,0)</f>
        <v>7291.66666666667</v>
      </c>
      <c r="Y33" s="11" t="n">
        <f aca="false">IF(Y$2&gt;=Inputs!$E$34,Inputs!$E$35/12,0)+IF(Y$2&gt;=Inputs!$E$36,Inputs!$E$37/12,0)</f>
        <v>7291.66666666667</v>
      </c>
      <c r="Z33" s="11" t="n">
        <f aca="false">IF(Z$2&gt;=Inputs!$E$34,Inputs!$E$35/12,0)+IF(Z$2&gt;=Inputs!$E$36,Inputs!$E$37/12,0)</f>
        <v>7291.66666666667</v>
      </c>
      <c r="AA33" s="11" t="n">
        <f aca="false">IF(AA$2&gt;=Inputs!$E$34,Inputs!$E$35/12,0)+IF(AA$2&gt;=Inputs!$E$36,Inputs!$E$37/12,0)</f>
        <v>7291.66666666667</v>
      </c>
      <c r="AB33" s="11" t="n">
        <f aca="false">IF(AB$2&gt;=Inputs!$E$34,Inputs!$E$35/12,0)+IF(AB$2&gt;=Inputs!$E$36,Inputs!$E$37/12,0)</f>
        <v>7291.66666666667</v>
      </c>
      <c r="AC33" s="11" t="n">
        <f aca="false">IF(AC$2&gt;=Inputs!$E$34,Inputs!$E$35/12,0)+IF(AC$2&gt;=Inputs!$E$36,Inputs!$E$37/12,0)</f>
        <v>7291.66666666667</v>
      </c>
      <c r="AD33" s="11" t="n">
        <f aca="false">IF(AD$2&gt;=Inputs!$E$34,Inputs!$E$35/12,0)+IF(AD$2&gt;=Inputs!$E$36,Inputs!$E$37/12,0)</f>
        <v>7291.66666666667</v>
      </c>
      <c r="AE33" s="11" t="n">
        <f aca="false">IF(AE$2&gt;=Inputs!$E$34,Inputs!$E$35/12,0)+IF(AE$2&gt;=Inputs!$E$36,Inputs!$E$37/12,0)</f>
        <v>16041.6666666667</v>
      </c>
      <c r="AF33" s="11" t="n">
        <f aca="false">IF(AF$2&gt;=Inputs!$E$34,Inputs!$E$35/12,0)+IF(AF$2&gt;=Inputs!$E$36,Inputs!$E$37/12,0)</f>
        <v>16041.6666666667</v>
      </c>
      <c r="AG33" s="11" t="n">
        <f aca="false">IF(AG$2&gt;=Inputs!$E$34,Inputs!$E$35/12,0)+IF(AG$2&gt;=Inputs!$E$36,Inputs!$E$37/12,0)</f>
        <v>16041.6666666667</v>
      </c>
      <c r="AH33" s="11" t="n">
        <f aca="false">IF(AH$2&gt;=Inputs!$E$34,Inputs!$E$35/12,0)+IF(AH$2&gt;=Inputs!$E$36,Inputs!$E$37/12,0)</f>
        <v>16041.6666666667</v>
      </c>
      <c r="AI33" s="11" t="n">
        <f aca="false">IF(AI$2&gt;=Inputs!$E$34,Inputs!$E$35/12,0)+IF(AI$2&gt;=Inputs!$E$36,Inputs!$E$37/12,0)</f>
        <v>16041.6666666667</v>
      </c>
      <c r="AJ33" s="11" t="n">
        <f aca="false">IF(AJ$2&gt;=Inputs!$E$34,Inputs!$E$35/12,0)+IF(AJ$2&gt;=Inputs!$E$36,Inputs!$E$37/12,0)</f>
        <v>16041.6666666667</v>
      </c>
      <c r="AK33" s="11" t="n">
        <f aca="false">IF(AK$2&gt;=Inputs!$E$34,Inputs!$E$35/12,0)+IF(AK$2&gt;=Inputs!$E$36,Inputs!$E$37/12,0)</f>
        <v>16041.6666666667</v>
      </c>
      <c r="AL33" s="11" t="n">
        <f aca="false">IF(AL$2&gt;=Inputs!$E$34,Inputs!$E$35/12,0)+IF(AL$2&gt;=Inputs!$E$36,Inputs!$E$37/12,0)</f>
        <v>16041.6666666667</v>
      </c>
    </row>
    <row r="34" customFormat="false" ht="15" hidden="false" customHeight="false" outlineLevel="0" collapsed="false">
      <c r="A34" s="2" t="s">
        <v>216</v>
      </c>
      <c r="B34" s="4"/>
      <c r="C34" s="11" t="n">
        <f aca="false">IF(AND(C$2&gt;=Inputs!$E$38,C$2&lt;Inputs!$E$34),Inputs!$E$39+Inputs!$E$40,0)</f>
        <v>0</v>
      </c>
      <c r="D34" s="11" t="n">
        <f aca="false">IF(AND(D$2&gt;=Inputs!$E$38,D$2&lt;Inputs!$E$34),Inputs!$E$39+Inputs!$E$40,0)</f>
        <v>0</v>
      </c>
      <c r="E34" s="11" t="n">
        <f aca="false">IF(AND(E$2&gt;=Inputs!$E$38,E$2&lt;Inputs!$E$34),Inputs!$E$39+Inputs!$E$40,0)</f>
        <v>0</v>
      </c>
      <c r="F34" s="11" t="n">
        <f aca="false">IF(AND(F$2&gt;=Inputs!$E$38,F$2&lt;Inputs!$E$34),Inputs!$E$39+Inputs!$E$40,0)</f>
        <v>0</v>
      </c>
      <c r="G34" s="11" t="n">
        <f aca="false">IF(AND(G$2&gt;=Inputs!$E$38,G$2&lt;Inputs!$E$34),Inputs!$E$39+Inputs!$E$40,0)</f>
        <v>0</v>
      </c>
      <c r="H34" s="11" t="n">
        <f aca="false">IF(AND(H$2&gt;=Inputs!$E$38,H$2&lt;Inputs!$E$34),Inputs!$E$39+Inputs!$E$40,0)</f>
        <v>2300</v>
      </c>
      <c r="I34" s="11" t="n">
        <f aca="false">IF(AND(I$2&gt;=Inputs!$E$38,I$2&lt;Inputs!$E$34),Inputs!$E$39+Inputs!$E$40,0)</f>
        <v>2300</v>
      </c>
      <c r="J34" s="11" t="n">
        <f aca="false">IF(AND(J$2&gt;=Inputs!$E$38,J$2&lt;Inputs!$E$34),Inputs!$E$39+Inputs!$E$40,0)</f>
        <v>2300</v>
      </c>
      <c r="K34" s="11" t="n">
        <f aca="false">IF(AND(K$2&gt;=Inputs!$E$38,K$2&lt;Inputs!$E$34),Inputs!$E$39+Inputs!$E$40,0)</f>
        <v>2300</v>
      </c>
      <c r="L34" s="11" t="n">
        <f aca="false">IF(AND(L$2&gt;=Inputs!$E$38,L$2&lt;Inputs!$E$34),Inputs!$E$39+Inputs!$E$40,0)</f>
        <v>2300</v>
      </c>
      <c r="M34" s="11" t="n">
        <f aca="false">IF(AND(M$2&gt;=Inputs!$E$38,M$2&lt;Inputs!$E$34),Inputs!$E$39+Inputs!$E$40,0)</f>
        <v>2300</v>
      </c>
      <c r="N34" s="11" t="n">
        <f aca="false">IF(AND(N$2&gt;=Inputs!$E$38,N$2&lt;Inputs!$E$34),Inputs!$E$39+Inputs!$E$40,0)</f>
        <v>2300</v>
      </c>
      <c r="O34" s="11" t="n">
        <f aca="false">IF(AND(O$2&gt;=Inputs!$E$38,O$2&lt;Inputs!$E$34),Inputs!$E$39+Inputs!$E$40,0)</f>
        <v>2300</v>
      </c>
      <c r="P34" s="11" t="n">
        <f aca="false">IF(AND(P$2&gt;=Inputs!$E$38,P$2&lt;Inputs!$E$34),Inputs!$E$39+Inputs!$E$40,0)</f>
        <v>2300</v>
      </c>
      <c r="Q34" s="11" t="n">
        <f aca="false">IF(AND(Q$2&gt;=Inputs!$E$38,Q$2&lt;Inputs!$E$34),Inputs!$E$39+Inputs!$E$40,0)</f>
        <v>2300</v>
      </c>
      <c r="R34" s="11" t="n">
        <f aca="false">IF(AND(R$2&gt;=Inputs!$E$38,R$2&lt;Inputs!$E$34),Inputs!$E$39+Inputs!$E$40,0)</f>
        <v>2300</v>
      </c>
      <c r="S34" s="11" t="n">
        <f aca="false">IF(AND(S$2&gt;=Inputs!$E$38,S$2&lt;Inputs!$E$34),Inputs!$E$39+Inputs!$E$40,0)</f>
        <v>0</v>
      </c>
      <c r="T34" s="11" t="n">
        <f aca="false">IF(AND(T$2&gt;=Inputs!$E$38,T$2&lt;Inputs!$E$34),Inputs!$E$39+Inputs!$E$40,0)</f>
        <v>0</v>
      </c>
      <c r="U34" s="11" t="n">
        <f aca="false">IF(AND(U$2&gt;=Inputs!$E$38,U$2&lt;Inputs!$E$34),Inputs!$E$39+Inputs!$E$40,0)</f>
        <v>0</v>
      </c>
      <c r="V34" s="11" t="n">
        <f aca="false">IF(AND(V$2&gt;=Inputs!$E$38,V$2&lt;Inputs!$E$34),Inputs!$E$39+Inputs!$E$40,0)</f>
        <v>0</v>
      </c>
      <c r="W34" s="11" t="n">
        <f aca="false">IF(AND(W$2&gt;=Inputs!$E$38,W$2&lt;Inputs!$E$34),Inputs!$E$39+Inputs!$E$40,0)</f>
        <v>0</v>
      </c>
      <c r="X34" s="11" t="n">
        <f aca="false">IF(AND(X$2&gt;=Inputs!$E$38,X$2&lt;Inputs!$E$34),Inputs!$E$39+Inputs!$E$40,0)</f>
        <v>0</v>
      </c>
      <c r="Y34" s="11" t="n">
        <f aca="false">IF(AND(Y$2&gt;=Inputs!$E$38,Y$2&lt;Inputs!$E$34),Inputs!$E$39+Inputs!$E$40,0)</f>
        <v>0</v>
      </c>
      <c r="Z34" s="11" t="n">
        <f aca="false">IF(AND(Z$2&gt;=Inputs!$E$38,Z$2&lt;Inputs!$E$34),Inputs!$E$39+Inputs!$E$40,0)</f>
        <v>0</v>
      </c>
      <c r="AA34" s="11" t="n">
        <f aca="false">IF(AND(AA$2&gt;=Inputs!$E$38,AA$2&lt;Inputs!$E$34),Inputs!$E$39+Inputs!$E$40,0)</f>
        <v>0</v>
      </c>
      <c r="AB34" s="11" t="n">
        <f aca="false">IF(AND(AB$2&gt;=Inputs!$E$38,AB$2&lt;Inputs!$E$34),Inputs!$E$39+Inputs!$E$40,0)</f>
        <v>0</v>
      </c>
      <c r="AC34" s="11" t="n">
        <f aca="false">IF(AND(AC$2&gt;=Inputs!$E$38,AC$2&lt;Inputs!$E$34),Inputs!$E$39+Inputs!$E$40,0)</f>
        <v>0</v>
      </c>
      <c r="AD34" s="11" t="n">
        <f aca="false">IF(AND(AD$2&gt;=Inputs!$E$38,AD$2&lt;Inputs!$E$34),Inputs!$E$39+Inputs!$E$40,0)</f>
        <v>0</v>
      </c>
      <c r="AE34" s="11" t="n">
        <f aca="false">IF(AND(AE$2&gt;=Inputs!$E$38,AE$2&lt;Inputs!$E$34),Inputs!$E$39+Inputs!$E$40,0)</f>
        <v>0</v>
      </c>
      <c r="AF34" s="11" t="n">
        <f aca="false">IF(AND(AF$2&gt;=Inputs!$E$38,AF$2&lt;Inputs!$E$34),Inputs!$E$39+Inputs!$E$40,0)</f>
        <v>0</v>
      </c>
      <c r="AG34" s="11" t="n">
        <f aca="false">IF(AND(AG$2&gt;=Inputs!$E$38,AG$2&lt;Inputs!$E$34),Inputs!$E$39+Inputs!$E$40,0)</f>
        <v>0</v>
      </c>
      <c r="AH34" s="11" t="n">
        <f aca="false">IF(AND(AH$2&gt;=Inputs!$E$38,AH$2&lt;Inputs!$E$34),Inputs!$E$39+Inputs!$E$40,0)</f>
        <v>0</v>
      </c>
      <c r="AI34" s="11" t="n">
        <f aca="false">IF(AND(AI$2&gt;=Inputs!$E$38,AI$2&lt;Inputs!$E$34),Inputs!$E$39+Inputs!$E$40,0)</f>
        <v>0</v>
      </c>
      <c r="AJ34" s="11" t="n">
        <f aca="false">IF(AND(AJ$2&gt;=Inputs!$E$38,AJ$2&lt;Inputs!$E$34),Inputs!$E$39+Inputs!$E$40,0)</f>
        <v>0</v>
      </c>
      <c r="AK34" s="11" t="n">
        <f aca="false">IF(AND(AK$2&gt;=Inputs!$E$38,AK$2&lt;Inputs!$E$34),Inputs!$E$39+Inputs!$E$40,0)</f>
        <v>0</v>
      </c>
      <c r="AL34" s="11" t="n">
        <f aca="false">IF(AND(AL$2&gt;=Inputs!$E$38,AL$2&lt;Inputs!$E$34),Inputs!$E$39+Inputs!$E$40,0)</f>
        <v>0</v>
      </c>
    </row>
    <row r="35" customFormat="false" ht="15" hidden="false" customHeight="false" outlineLevel="0" collapsed="false">
      <c r="A35" s="2" t="s">
        <v>217</v>
      </c>
      <c r="B35" s="4"/>
      <c r="C35" s="11" t="n">
        <f aca="false">Inputs!$E$42/12</f>
        <v>2083.33333333333</v>
      </c>
      <c r="D35" s="11" t="n">
        <f aca="false">Inputs!$E$42/12</f>
        <v>2083.33333333333</v>
      </c>
      <c r="E35" s="11" t="n">
        <f aca="false">Inputs!$E$42/12</f>
        <v>2083.33333333333</v>
      </c>
      <c r="F35" s="11" t="n">
        <f aca="false">Inputs!$E$42/12</f>
        <v>2083.33333333333</v>
      </c>
      <c r="G35" s="11" t="n">
        <f aca="false">Inputs!$E$42/12</f>
        <v>2083.33333333333</v>
      </c>
      <c r="H35" s="11" t="n">
        <f aca="false">Inputs!$E$42/12</f>
        <v>2083.33333333333</v>
      </c>
      <c r="I35" s="11" t="n">
        <f aca="false">Inputs!$E$42/12</f>
        <v>2083.33333333333</v>
      </c>
      <c r="J35" s="11" t="n">
        <f aca="false">Inputs!$E$42/12</f>
        <v>2083.33333333333</v>
      </c>
      <c r="K35" s="11" t="n">
        <f aca="false">Inputs!$E$42/12</f>
        <v>2083.33333333333</v>
      </c>
      <c r="L35" s="11" t="n">
        <f aca="false">Inputs!$E$42/12</f>
        <v>2083.33333333333</v>
      </c>
      <c r="M35" s="11" t="n">
        <f aca="false">Inputs!$E$42/12</f>
        <v>2083.33333333333</v>
      </c>
      <c r="N35" s="11" t="n">
        <f aca="false">Inputs!$E$42/12</f>
        <v>2083.33333333333</v>
      </c>
      <c r="O35" s="11" t="n">
        <f aca="false">Inputs!$E$42/12</f>
        <v>2083.33333333333</v>
      </c>
      <c r="P35" s="11" t="n">
        <f aca="false">Inputs!$E$42/12</f>
        <v>2083.33333333333</v>
      </c>
      <c r="Q35" s="11" t="n">
        <f aca="false">Inputs!$E$42/12</f>
        <v>2083.33333333333</v>
      </c>
      <c r="R35" s="11" t="n">
        <f aca="false">Inputs!$E$42/12</f>
        <v>2083.33333333333</v>
      </c>
      <c r="S35" s="11" t="n">
        <f aca="false">Inputs!$E$42/12</f>
        <v>2083.33333333333</v>
      </c>
      <c r="T35" s="11" t="n">
        <f aca="false">Inputs!$E$42/12</f>
        <v>2083.33333333333</v>
      </c>
      <c r="U35" s="11" t="n">
        <f aca="false">Inputs!$E$42/12</f>
        <v>2083.33333333333</v>
      </c>
      <c r="V35" s="11" t="n">
        <f aca="false">Inputs!$E$42/12</f>
        <v>2083.33333333333</v>
      </c>
      <c r="W35" s="11" t="n">
        <f aca="false">Inputs!$E$42/12</f>
        <v>2083.33333333333</v>
      </c>
      <c r="X35" s="11" t="n">
        <f aca="false">Inputs!$E$42/12</f>
        <v>2083.33333333333</v>
      </c>
      <c r="Y35" s="11" t="n">
        <f aca="false">Inputs!$E$42/12</f>
        <v>2083.33333333333</v>
      </c>
      <c r="Z35" s="11" t="n">
        <f aca="false">Inputs!$E$42/12</f>
        <v>2083.33333333333</v>
      </c>
      <c r="AA35" s="11" t="n">
        <f aca="false">Inputs!$E$42/12</f>
        <v>2083.33333333333</v>
      </c>
      <c r="AB35" s="11" t="n">
        <f aca="false">Inputs!$E$42/12</f>
        <v>2083.33333333333</v>
      </c>
      <c r="AC35" s="11" t="n">
        <f aca="false">Inputs!$E$42/12</f>
        <v>2083.33333333333</v>
      </c>
      <c r="AD35" s="11" t="n">
        <f aca="false">Inputs!$E$42/12</f>
        <v>2083.33333333333</v>
      </c>
      <c r="AE35" s="11" t="n">
        <f aca="false">Inputs!$E$42/12</f>
        <v>2083.33333333333</v>
      </c>
      <c r="AF35" s="11" t="n">
        <f aca="false">Inputs!$E$42/12</f>
        <v>2083.33333333333</v>
      </c>
      <c r="AG35" s="11" t="n">
        <f aca="false">Inputs!$E$42/12</f>
        <v>2083.33333333333</v>
      </c>
      <c r="AH35" s="11" t="n">
        <f aca="false">Inputs!$E$42/12</f>
        <v>2083.33333333333</v>
      </c>
      <c r="AI35" s="11" t="n">
        <f aca="false">Inputs!$E$42/12</f>
        <v>2083.33333333333</v>
      </c>
      <c r="AJ35" s="11" t="n">
        <f aca="false">Inputs!$E$42/12</f>
        <v>2083.33333333333</v>
      </c>
      <c r="AK35" s="11" t="n">
        <f aca="false">Inputs!$E$42/12</f>
        <v>2083.33333333333</v>
      </c>
      <c r="AL35" s="11" t="n">
        <f aca="false">Inputs!$E$42/12</f>
        <v>2083.33333333333</v>
      </c>
    </row>
    <row r="36" customFormat="false" ht="15" hidden="false" customHeight="false" outlineLevel="0" collapsed="false">
      <c r="A36" s="2" t="s">
        <v>218</v>
      </c>
      <c r="B36" s="4"/>
      <c r="C36" s="11" t="n">
        <f aca="false">(Inputs!$E$43+Inputs!$E$44)/12</f>
        <v>766.666666666667</v>
      </c>
      <c r="D36" s="11" t="n">
        <f aca="false">(Inputs!$E$43+Inputs!$E$44)/12</f>
        <v>766.666666666667</v>
      </c>
      <c r="E36" s="11" t="n">
        <f aca="false">(Inputs!$E$43+Inputs!$E$44)/12</f>
        <v>766.666666666667</v>
      </c>
      <c r="F36" s="11" t="n">
        <f aca="false">(Inputs!$E$43+Inputs!$E$44)/12</f>
        <v>766.666666666667</v>
      </c>
      <c r="G36" s="11" t="n">
        <f aca="false">(Inputs!$E$43+Inputs!$E$44)/12</f>
        <v>766.666666666667</v>
      </c>
      <c r="H36" s="11" t="n">
        <f aca="false">(Inputs!$E$43+Inputs!$E$44)/12</f>
        <v>766.666666666667</v>
      </c>
      <c r="I36" s="11" t="n">
        <f aca="false">(Inputs!$E$43+Inputs!$E$44)/12</f>
        <v>766.666666666667</v>
      </c>
      <c r="J36" s="11" t="n">
        <f aca="false">(Inputs!$E$43+Inputs!$E$44)/12</f>
        <v>766.666666666667</v>
      </c>
      <c r="K36" s="11" t="n">
        <f aca="false">(Inputs!$E$43+Inputs!$E$44)/12</f>
        <v>766.666666666667</v>
      </c>
      <c r="L36" s="11" t="n">
        <f aca="false">(Inputs!$E$43+Inputs!$E$44)/12</f>
        <v>766.666666666667</v>
      </c>
      <c r="M36" s="11" t="n">
        <f aca="false">(Inputs!$E$43+Inputs!$E$44)/12</f>
        <v>766.666666666667</v>
      </c>
      <c r="N36" s="11" t="n">
        <f aca="false">(Inputs!$E$43+Inputs!$E$44)/12</f>
        <v>766.666666666667</v>
      </c>
      <c r="O36" s="11" t="n">
        <f aca="false">(Inputs!$E$43+Inputs!$E$44)/12</f>
        <v>766.666666666667</v>
      </c>
      <c r="P36" s="11" t="n">
        <f aca="false">(Inputs!$E$43+Inputs!$E$44)/12</f>
        <v>766.666666666667</v>
      </c>
      <c r="Q36" s="11" t="n">
        <f aca="false">(Inputs!$E$43+Inputs!$E$44)/12</f>
        <v>766.666666666667</v>
      </c>
      <c r="R36" s="11" t="n">
        <f aca="false">(Inputs!$E$43+Inputs!$E$44)/12</f>
        <v>766.666666666667</v>
      </c>
      <c r="S36" s="11" t="n">
        <f aca="false">(Inputs!$E$43+Inputs!$E$44)/12</f>
        <v>766.666666666667</v>
      </c>
      <c r="T36" s="11" t="n">
        <f aca="false">(Inputs!$E$43+Inputs!$E$44)/12</f>
        <v>766.666666666667</v>
      </c>
      <c r="U36" s="11" t="n">
        <f aca="false">(Inputs!$E$43+Inputs!$E$44)/12</f>
        <v>766.666666666667</v>
      </c>
      <c r="V36" s="11" t="n">
        <f aca="false">(Inputs!$E$43+Inputs!$E$44)/12</f>
        <v>766.666666666667</v>
      </c>
      <c r="W36" s="11" t="n">
        <f aca="false">(Inputs!$E$43+Inputs!$E$44)/12</f>
        <v>766.666666666667</v>
      </c>
      <c r="X36" s="11" t="n">
        <f aca="false">(Inputs!$E$43+Inputs!$E$44)/12</f>
        <v>766.666666666667</v>
      </c>
      <c r="Y36" s="11" t="n">
        <f aca="false">(Inputs!$E$43+Inputs!$E$44)/12</f>
        <v>766.666666666667</v>
      </c>
      <c r="Z36" s="11" t="n">
        <f aca="false">(Inputs!$E$43+Inputs!$E$44)/12</f>
        <v>766.666666666667</v>
      </c>
      <c r="AA36" s="11" t="n">
        <f aca="false">(Inputs!$E$43+Inputs!$E$44)/12</f>
        <v>766.666666666667</v>
      </c>
      <c r="AB36" s="11" t="n">
        <f aca="false">(Inputs!$E$43+Inputs!$E$44)/12</f>
        <v>766.666666666667</v>
      </c>
      <c r="AC36" s="11" t="n">
        <f aca="false">(Inputs!$E$43+Inputs!$E$44)/12</f>
        <v>766.666666666667</v>
      </c>
      <c r="AD36" s="11" t="n">
        <f aca="false">(Inputs!$E$43+Inputs!$E$44)/12</f>
        <v>766.666666666667</v>
      </c>
      <c r="AE36" s="11" t="n">
        <f aca="false">(Inputs!$E$43+Inputs!$E$44)/12</f>
        <v>766.666666666667</v>
      </c>
      <c r="AF36" s="11" t="n">
        <f aca="false">(Inputs!$E$43+Inputs!$E$44)/12</f>
        <v>766.666666666667</v>
      </c>
      <c r="AG36" s="11" t="n">
        <f aca="false">(Inputs!$E$43+Inputs!$E$44)/12</f>
        <v>766.666666666667</v>
      </c>
      <c r="AH36" s="11" t="n">
        <f aca="false">(Inputs!$E$43+Inputs!$E$44)/12</f>
        <v>766.666666666667</v>
      </c>
      <c r="AI36" s="11" t="n">
        <f aca="false">(Inputs!$E$43+Inputs!$E$44)/12</f>
        <v>766.666666666667</v>
      </c>
      <c r="AJ36" s="11" t="n">
        <f aca="false">(Inputs!$E$43+Inputs!$E$44)/12</f>
        <v>766.666666666667</v>
      </c>
      <c r="AK36" s="11" t="n">
        <f aca="false">(Inputs!$E$43+Inputs!$E$44)/12</f>
        <v>766.666666666667</v>
      </c>
      <c r="AL36" s="11" t="n">
        <f aca="false">(Inputs!$E$43+Inputs!$E$44)/12</f>
        <v>766.666666666667</v>
      </c>
    </row>
    <row r="37" customFormat="false" ht="15" hidden="false" customHeight="false" outlineLevel="0" collapsed="false">
      <c r="A37" s="2" t="s">
        <v>219</v>
      </c>
      <c r="B37" s="4"/>
      <c r="C37" s="11" t="n">
        <f aca="false">Inputs!$E$45</f>
        <v>1000</v>
      </c>
      <c r="D37" s="11" t="n">
        <f aca="false">Inputs!$E$45</f>
        <v>1000</v>
      </c>
      <c r="E37" s="11" t="n">
        <f aca="false">Inputs!$E$45</f>
        <v>1000</v>
      </c>
      <c r="F37" s="11" t="n">
        <f aca="false">Inputs!$E$45</f>
        <v>1000</v>
      </c>
      <c r="G37" s="11" t="n">
        <f aca="false">Inputs!$E$45</f>
        <v>1000</v>
      </c>
      <c r="H37" s="11" t="n">
        <f aca="false">Inputs!$E$45</f>
        <v>1000</v>
      </c>
      <c r="I37" s="11" t="n">
        <f aca="false">Inputs!$E$45</f>
        <v>1000</v>
      </c>
      <c r="J37" s="11" t="n">
        <f aca="false">Inputs!$E$45</f>
        <v>1000</v>
      </c>
      <c r="K37" s="11" t="n">
        <f aca="false">Inputs!$E$45</f>
        <v>1000</v>
      </c>
      <c r="L37" s="11" t="n">
        <f aca="false">Inputs!$E$45</f>
        <v>1000</v>
      </c>
      <c r="M37" s="11" t="n">
        <f aca="false">Inputs!$E$45</f>
        <v>1000</v>
      </c>
      <c r="N37" s="11" t="n">
        <f aca="false">Inputs!$E$45</f>
        <v>1000</v>
      </c>
      <c r="O37" s="11" t="n">
        <f aca="false">Inputs!$E$45</f>
        <v>1000</v>
      </c>
      <c r="P37" s="11" t="n">
        <f aca="false">Inputs!$E$45</f>
        <v>1000</v>
      </c>
      <c r="Q37" s="11" t="n">
        <f aca="false">Inputs!$E$45</f>
        <v>1000</v>
      </c>
      <c r="R37" s="11" t="n">
        <f aca="false">Inputs!$E$45</f>
        <v>1000</v>
      </c>
      <c r="S37" s="11" t="n">
        <f aca="false">Inputs!$E$45</f>
        <v>1000</v>
      </c>
      <c r="T37" s="11" t="n">
        <f aca="false">Inputs!$E$45</f>
        <v>1000</v>
      </c>
      <c r="U37" s="11" t="n">
        <f aca="false">Inputs!$E$45</f>
        <v>1000</v>
      </c>
      <c r="V37" s="11" t="n">
        <f aca="false">Inputs!$E$45</f>
        <v>1000</v>
      </c>
      <c r="W37" s="11" t="n">
        <f aca="false">Inputs!$E$45</f>
        <v>1000</v>
      </c>
      <c r="X37" s="11" t="n">
        <f aca="false">Inputs!$E$45</f>
        <v>1000</v>
      </c>
      <c r="Y37" s="11" t="n">
        <f aca="false">Inputs!$E$45</f>
        <v>1000</v>
      </c>
      <c r="Z37" s="11" t="n">
        <f aca="false">Inputs!$E$45</f>
        <v>1000</v>
      </c>
      <c r="AA37" s="11" t="n">
        <f aca="false">Inputs!$E$45</f>
        <v>1000</v>
      </c>
      <c r="AB37" s="11" t="n">
        <f aca="false">Inputs!$E$45</f>
        <v>1000</v>
      </c>
      <c r="AC37" s="11" t="n">
        <f aca="false">Inputs!$E$45</f>
        <v>1000</v>
      </c>
      <c r="AD37" s="11" t="n">
        <f aca="false">Inputs!$E$45</f>
        <v>1000</v>
      </c>
      <c r="AE37" s="11" t="n">
        <f aca="false">Inputs!$E$45</f>
        <v>1000</v>
      </c>
      <c r="AF37" s="11" t="n">
        <f aca="false">Inputs!$E$45</f>
        <v>1000</v>
      </c>
      <c r="AG37" s="11" t="n">
        <f aca="false">Inputs!$E$45</f>
        <v>1000</v>
      </c>
      <c r="AH37" s="11" t="n">
        <f aca="false">Inputs!$E$45</f>
        <v>1000</v>
      </c>
      <c r="AI37" s="11" t="n">
        <f aca="false">Inputs!$E$45</f>
        <v>1000</v>
      </c>
      <c r="AJ37" s="11" t="n">
        <f aca="false">Inputs!$E$45</f>
        <v>1000</v>
      </c>
      <c r="AK37" s="11" t="n">
        <f aca="false">Inputs!$E$45</f>
        <v>1000</v>
      </c>
      <c r="AL37" s="11" t="n">
        <f aca="false">Inputs!$E$45</f>
        <v>1000</v>
      </c>
    </row>
    <row r="38" customFormat="false" ht="15" hidden="false" customHeight="false" outlineLevel="0" collapsed="false">
      <c r="A38" s="2" t="s">
        <v>220</v>
      </c>
      <c r="B38" s="4"/>
      <c r="C38" s="11" t="n">
        <f aca="false">Inputs!$E$46+IF(C$2&lt;=3,Inputs!$E$47/3,0)</f>
        <v>5000</v>
      </c>
      <c r="D38" s="11" t="n">
        <f aca="false">Inputs!$E$46+IF(D$2&lt;=3,Inputs!$E$47/3,0)</f>
        <v>5000</v>
      </c>
      <c r="E38" s="11" t="n">
        <f aca="false">Inputs!$E$46+IF(E$2&lt;=3,Inputs!$E$47/3,0)</f>
        <v>5000</v>
      </c>
      <c r="F38" s="11" t="n">
        <f aca="false">Inputs!$E$46+IF(F$2&lt;=3,Inputs!$E$47/3,0)</f>
        <v>1000</v>
      </c>
      <c r="G38" s="11" t="n">
        <f aca="false">Inputs!$E$46+IF(G$2&lt;=3,Inputs!$E$47/3,0)</f>
        <v>1000</v>
      </c>
      <c r="H38" s="11" t="n">
        <f aca="false">Inputs!$E$46+IF(H$2&lt;=3,Inputs!$E$47/3,0)</f>
        <v>1000</v>
      </c>
      <c r="I38" s="11" t="n">
        <f aca="false">Inputs!$E$46+IF(I$2&lt;=3,Inputs!$E$47/3,0)</f>
        <v>1000</v>
      </c>
      <c r="J38" s="11" t="n">
        <f aca="false">Inputs!$E$46+IF(J$2&lt;=3,Inputs!$E$47/3,0)</f>
        <v>1000</v>
      </c>
      <c r="K38" s="11" t="n">
        <f aca="false">Inputs!$E$46+IF(K$2&lt;=3,Inputs!$E$47/3,0)</f>
        <v>1000</v>
      </c>
      <c r="L38" s="11" t="n">
        <f aca="false">Inputs!$E$46+IF(L$2&lt;=3,Inputs!$E$47/3,0)</f>
        <v>1000</v>
      </c>
      <c r="M38" s="11" t="n">
        <f aca="false">Inputs!$E$46+IF(M$2&lt;=3,Inputs!$E$47/3,0)</f>
        <v>1000</v>
      </c>
      <c r="N38" s="11" t="n">
        <f aca="false">Inputs!$E$46+IF(N$2&lt;=3,Inputs!$E$47/3,0)</f>
        <v>1000</v>
      </c>
      <c r="O38" s="11" t="n">
        <f aca="false">Inputs!$E$46+IF(O$2&lt;=3,Inputs!$E$47/3,0)</f>
        <v>1000</v>
      </c>
      <c r="P38" s="11" t="n">
        <f aca="false">Inputs!$E$46+IF(P$2&lt;=3,Inputs!$E$47/3,0)</f>
        <v>1000</v>
      </c>
      <c r="Q38" s="11" t="n">
        <f aca="false">Inputs!$E$46+IF(Q$2&lt;=3,Inputs!$E$47/3,0)</f>
        <v>1000</v>
      </c>
      <c r="R38" s="11" t="n">
        <f aca="false">Inputs!$E$46+IF(R$2&lt;=3,Inputs!$E$47/3,0)</f>
        <v>1000</v>
      </c>
      <c r="S38" s="11" t="n">
        <f aca="false">Inputs!$E$46+IF(S$2&lt;=3,Inputs!$E$47/3,0)</f>
        <v>1000</v>
      </c>
      <c r="T38" s="11" t="n">
        <f aca="false">Inputs!$E$46+IF(T$2&lt;=3,Inputs!$E$47/3,0)</f>
        <v>1000</v>
      </c>
      <c r="U38" s="11" t="n">
        <f aca="false">Inputs!$E$46+IF(U$2&lt;=3,Inputs!$E$47/3,0)</f>
        <v>1000</v>
      </c>
      <c r="V38" s="11" t="n">
        <f aca="false">Inputs!$E$46+IF(V$2&lt;=3,Inputs!$E$47/3,0)</f>
        <v>1000</v>
      </c>
      <c r="W38" s="11" t="n">
        <f aca="false">Inputs!$E$46+IF(W$2&lt;=3,Inputs!$E$47/3,0)</f>
        <v>1000</v>
      </c>
      <c r="X38" s="11" t="n">
        <f aca="false">Inputs!$E$46+IF(X$2&lt;=3,Inputs!$E$47/3,0)</f>
        <v>1000</v>
      </c>
      <c r="Y38" s="11" t="n">
        <f aca="false">Inputs!$E$46+IF(Y$2&lt;=3,Inputs!$E$47/3,0)</f>
        <v>1000</v>
      </c>
      <c r="Z38" s="11" t="n">
        <f aca="false">Inputs!$E$46+IF(Z$2&lt;=3,Inputs!$E$47/3,0)</f>
        <v>1000</v>
      </c>
      <c r="AA38" s="11" t="n">
        <f aca="false">Inputs!$E$46+IF(AA$2&lt;=3,Inputs!$E$47/3,0)</f>
        <v>1000</v>
      </c>
      <c r="AB38" s="11" t="n">
        <f aca="false">Inputs!$E$46+IF(AB$2&lt;=3,Inputs!$E$47/3,0)</f>
        <v>1000</v>
      </c>
      <c r="AC38" s="11" t="n">
        <f aca="false">Inputs!$E$46+IF(AC$2&lt;=3,Inputs!$E$47/3,0)</f>
        <v>1000</v>
      </c>
      <c r="AD38" s="11" t="n">
        <f aca="false">Inputs!$E$46+IF(AD$2&lt;=3,Inputs!$E$47/3,0)</f>
        <v>1000</v>
      </c>
      <c r="AE38" s="11" t="n">
        <f aca="false">Inputs!$E$46+IF(AE$2&lt;=3,Inputs!$E$47/3,0)</f>
        <v>1000</v>
      </c>
      <c r="AF38" s="11" t="n">
        <f aca="false">Inputs!$E$46+IF(AF$2&lt;=3,Inputs!$E$47/3,0)</f>
        <v>1000</v>
      </c>
      <c r="AG38" s="11" t="n">
        <f aca="false">Inputs!$E$46+IF(AG$2&lt;=3,Inputs!$E$47/3,0)</f>
        <v>1000</v>
      </c>
      <c r="AH38" s="11" t="n">
        <f aca="false">Inputs!$E$46+IF(AH$2&lt;=3,Inputs!$E$47/3,0)</f>
        <v>1000</v>
      </c>
      <c r="AI38" s="11" t="n">
        <f aca="false">Inputs!$E$46+IF(AI$2&lt;=3,Inputs!$E$47/3,0)</f>
        <v>1000</v>
      </c>
      <c r="AJ38" s="11" t="n">
        <f aca="false">Inputs!$E$46+IF(AJ$2&lt;=3,Inputs!$E$47/3,0)</f>
        <v>1000</v>
      </c>
      <c r="AK38" s="11" t="n">
        <f aca="false">Inputs!$E$46+IF(AK$2&lt;=3,Inputs!$E$47/3,0)</f>
        <v>1000</v>
      </c>
      <c r="AL38" s="11" t="n">
        <f aca="false">Inputs!$E$46+IF(AL$2&lt;=3,Inputs!$E$47/3,0)</f>
        <v>1000</v>
      </c>
    </row>
    <row r="39" customFormat="false" ht="15" hidden="false" customHeight="false" outlineLevel="0" collapsed="false">
      <c r="A39" s="2" t="s">
        <v>221</v>
      </c>
      <c r="B39" s="4"/>
      <c r="C39" s="11" t="n">
        <f aca="false">CHOOSE(C$3,Inputs!$E$48,Inputs!$E$49,Inputs!$E$50)/12</f>
        <v>2716.58333333333</v>
      </c>
      <c r="D39" s="11" t="n">
        <f aca="false">CHOOSE(D$3,Inputs!$E$48,Inputs!$E$49,Inputs!$E$50)/12</f>
        <v>2716.58333333333</v>
      </c>
      <c r="E39" s="11" t="n">
        <f aca="false">CHOOSE(E$3,Inputs!$E$48,Inputs!$E$49,Inputs!$E$50)/12</f>
        <v>2716.58333333333</v>
      </c>
      <c r="F39" s="11" t="n">
        <f aca="false">CHOOSE(F$3,Inputs!$E$48,Inputs!$E$49,Inputs!$E$50)/12</f>
        <v>2716.58333333333</v>
      </c>
      <c r="G39" s="11" t="n">
        <f aca="false">CHOOSE(G$3,Inputs!$E$48,Inputs!$E$49,Inputs!$E$50)/12</f>
        <v>2716.58333333333</v>
      </c>
      <c r="H39" s="11" t="n">
        <f aca="false">CHOOSE(H$3,Inputs!$E$48,Inputs!$E$49,Inputs!$E$50)/12</f>
        <v>2716.58333333333</v>
      </c>
      <c r="I39" s="11" t="n">
        <f aca="false">CHOOSE(I$3,Inputs!$E$48,Inputs!$E$49,Inputs!$E$50)/12</f>
        <v>2716.58333333333</v>
      </c>
      <c r="J39" s="11" t="n">
        <f aca="false">CHOOSE(J$3,Inputs!$E$48,Inputs!$E$49,Inputs!$E$50)/12</f>
        <v>2716.58333333333</v>
      </c>
      <c r="K39" s="11" t="n">
        <f aca="false">CHOOSE(K$3,Inputs!$E$48,Inputs!$E$49,Inputs!$E$50)/12</f>
        <v>2716.58333333333</v>
      </c>
      <c r="L39" s="11" t="n">
        <f aca="false">CHOOSE(L$3,Inputs!$E$48,Inputs!$E$49,Inputs!$E$50)/12</f>
        <v>2716.58333333333</v>
      </c>
      <c r="M39" s="11" t="n">
        <f aca="false">CHOOSE(M$3,Inputs!$E$48,Inputs!$E$49,Inputs!$E$50)/12</f>
        <v>2716.58333333333</v>
      </c>
      <c r="N39" s="11" t="n">
        <f aca="false">CHOOSE(N$3,Inputs!$E$48,Inputs!$E$49,Inputs!$E$50)/12</f>
        <v>2716.58333333333</v>
      </c>
      <c r="O39" s="11" t="n">
        <f aca="false">CHOOSE(O$3,Inputs!$E$48,Inputs!$E$49,Inputs!$E$50)/12</f>
        <v>3553.75</v>
      </c>
      <c r="P39" s="11" t="n">
        <f aca="false">CHOOSE(P$3,Inputs!$E$48,Inputs!$E$49,Inputs!$E$50)/12</f>
        <v>3553.75</v>
      </c>
      <c r="Q39" s="11" t="n">
        <f aca="false">CHOOSE(Q$3,Inputs!$E$48,Inputs!$E$49,Inputs!$E$50)/12</f>
        <v>3553.75</v>
      </c>
      <c r="R39" s="11" t="n">
        <f aca="false">CHOOSE(R$3,Inputs!$E$48,Inputs!$E$49,Inputs!$E$50)/12</f>
        <v>3553.75</v>
      </c>
      <c r="S39" s="11" t="n">
        <f aca="false">CHOOSE(S$3,Inputs!$E$48,Inputs!$E$49,Inputs!$E$50)/12</f>
        <v>3553.75</v>
      </c>
      <c r="T39" s="11" t="n">
        <f aca="false">CHOOSE(T$3,Inputs!$E$48,Inputs!$E$49,Inputs!$E$50)/12</f>
        <v>3553.75</v>
      </c>
      <c r="U39" s="11" t="n">
        <f aca="false">CHOOSE(U$3,Inputs!$E$48,Inputs!$E$49,Inputs!$E$50)/12</f>
        <v>3553.75</v>
      </c>
      <c r="V39" s="11" t="n">
        <f aca="false">CHOOSE(V$3,Inputs!$E$48,Inputs!$E$49,Inputs!$E$50)/12</f>
        <v>3553.75</v>
      </c>
      <c r="W39" s="11" t="n">
        <f aca="false">CHOOSE(W$3,Inputs!$E$48,Inputs!$E$49,Inputs!$E$50)/12</f>
        <v>3553.75</v>
      </c>
      <c r="X39" s="11" t="n">
        <f aca="false">CHOOSE(X$3,Inputs!$E$48,Inputs!$E$49,Inputs!$E$50)/12</f>
        <v>3553.75</v>
      </c>
      <c r="Y39" s="11" t="n">
        <f aca="false">CHOOSE(Y$3,Inputs!$E$48,Inputs!$E$49,Inputs!$E$50)/12</f>
        <v>3553.75</v>
      </c>
      <c r="Z39" s="11" t="n">
        <f aca="false">CHOOSE(Z$3,Inputs!$E$48,Inputs!$E$49,Inputs!$E$50)/12</f>
        <v>3553.75</v>
      </c>
      <c r="AA39" s="11" t="n">
        <f aca="false">CHOOSE(AA$3,Inputs!$E$48,Inputs!$E$49,Inputs!$E$50)/12</f>
        <v>4815.41666666667</v>
      </c>
      <c r="AB39" s="11" t="n">
        <f aca="false">CHOOSE(AB$3,Inputs!$E$48,Inputs!$E$49,Inputs!$E$50)/12</f>
        <v>4815.41666666667</v>
      </c>
      <c r="AC39" s="11" t="n">
        <f aca="false">CHOOSE(AC$3,Inputs!$E$48,Inputs!$E$49,Inputs!$E$50)/12</f>
        <v>4815.41666666667</v>
      </c>
      <c r="AD39" s="11" t="n">
        <f aca="false">CHOOSE(AD$3,Inputs!$E$48,Inputs!$E$49,Inputs!$E$50)/12</f>
        <v>4815.41666666667</v>
      </c>
      <c r="AE39" s="11" t="n">
        <f aca="false">CHOOSE(AE$3,Inputs!$E$48,Inputs!$E$49,Inputs!$E$50)/12</f>
        <v>4815.41666666667</v>
      </c>
      <c r="AF39" s="11" t="n">
        <f aca="false">CHOOSE(AF$3,Inputs!$E$48,Inputs!$E$49,Inputs!$E$50)/12</f>
        <v>4815.41666666667</v>
      </c>
      <c r="AG39" s="11" t="n">
        <f aca="false">CHOOSE(AG$3,Inputs!$E$48,Inputs!$E$49,Inputs!$E$50)/12</f>
        <v>4815.41666666667</v>
      </c>
      <c r="AH39" s="11" t="n">
        <f aca="false">CHOOSE(AH$3,Inputs!$E$48,Inputs!$E$49,Inputs!$E$50)/12</f>
        <v>4815.41666666667</v>
      </c>
      <c r="AI39" s="11" t="n">
        <f aca="false">CHOOSE(AI$3,Inputs!$E$48,Inputs!$E$49,Inputs!$E$50)/12</f>
        <v>4815.41666666667</v>
      </c>
      <c r="AJ39" s="11" t="n">
        <f aca="false">CHOOSE(AJ$3,Inputs!$E$48,Inputs!$E$49,Inputs!$E$50)/12</f>
        <v>4815.41666666667</v>
      </c>
      <c r="AK39" s="11" t="n">
        <f aca="false">CHOOSE(AK$3,Inputs!$E$48,Inputs!$E$49,Inputs!$E$50)/12</f>
        <v>4815.41666666667</v>
      </c>
      <c r="AL39" s="11" t="n">
        <f aca="false">CHOOSE(AL$3,Inputs!$E$48,Inputs!$E$49,Inputs!$E$50)/12</f>
        <v>4815.41666666667</v>
      </c>
    </row>
    <row r="40" customFormat="false" ht="15" hidden="false" customHeight="false" outlineLevel="0" collapsed="false">
      <c r="A40" s="3" t="s">
        <v>222</v>
      </c>
      <c r="B40" s="4"/>
      <c r="C40" s="11" t="n">
        <f aca="false">SUM(C31:C39)</f>
        <v>17846.1666666667</v>
      </c>
      <c r="D40" s="11" t="n">
        <f aca="false">SUM(D31:D39)</f>
        <v>17846.1666666667</v>
      </c>
      <c r="E40" s="11" t="n">
        <f aca="false">SUM(E31:E39)</f>
        <v>17846.1666666667</v>
      </c>
      <c r="F40" s="11" t="n">
        <f aca="false">SUM(F31:F39)</f>
        <v>13846.1666666667</v>
      </c>
      <c r="G40" s="11" t="n">
        <f aca="false">SUM(G31:G39)</f>
        <v>13846.1666666667</v>
      </c>
      <c r="H40" s="11" t="n">
        <f aca="false">SUM(H31:H39)</f>
        <v>16146.1666666667</v>
      </c>
      <c r="I40" s="11" t="n">
        <f aca="false">SUM(I31:I39)</f>
        <v>16146.1666666667</v>
      </c>
      <c r="J40" s="11" t="n">
        <f aca="false">SUM(J31:J39)</f>
        <v>16146.1666666667</v>
      </c>
      <c r="K40" s="11" t="n">
        <f aca="false">SUM(K31:K39)</f>
        <v>16146.1666666667</v>
      </c>
      <c r="L40" s="11" t="n">
        <f aca="false">SUM(L31:L39)</f>
        <v>16146.1666666667</v>
      </c>
      <c r="M40" s="11" t="n">
        <f aca="false">SUM(M31:M39)</f>
        <v>16146.1666666667</v>
      </c>
      <c r="N40" s="11" t="n">
        <f aca="false">SUM(N31:N39)</f>
        <v>16146.1666666667</v>
      </c>
      <c r="O40" s="11" t="n">
        <f aca="false">SUM(O31:O39)</f>
        <v>19674.5833333333</v>
      </c>
      <c r="P40" s="11" t="n">
        <f aca="false">SUM(P31:P39)</f>
        <v>19674.5833333333</v>
      </c>
      <c r="Q40" s="11" t="n">
        <f aca="false">SUM(Q31:Q39)</f>
        <v>19674.5833333333</v>
      </c>
      <c r="R40" s="11" t="n">
        <f aca="false">SUM(R31:R39)</f>
        <v>19674.5833333333</v>
      </c>
      <c r="S40" s="11" t="n">
        <f aca="false">SUM(S31:S39)</f>
        <v>24666.25</v>
      </c>
      <c r="T40" s="11" t="n">
        <f aca="false">SUM(T31:T39)</f>
        <v>24666.25</v>
      </c>
      <c r="U40" s="11" t="n">
        <f aca="false">SUM(U31:U39)</f>
        <v>24666.25</v>
      </c>
      <c r="V40" s="11" t="n">
        <f aca="false">SUM(V31:V39)</f>
        <v>24666.25</v>
      </c>
      <c r="W40" s="11" t="n">
        <f aca="false">SUM(W31:W39)</f>
        <v>24666.25</v>
      </c>
      <c r="X40" s="11" t="n">
        <f aca="false">SUM(X31:X39)</f>
        <v>24666.25</v>
      </c>
      <c r="Y40" s="11" t="n">
        <f aca="false">SUM(Y31:Y39)</f>
        <v>24666.25</v>
      </c>
      <c r="Z40" s="11" t="n">
        <f aca="false">SUM(Z31:Z39)</f>
        <v>24666.25</v>
      </c>
      <c r="AA40" s="11" t="n">
        <f aca="false">SUM(AA31:AA39)</f>
        <v>28619.1666666667</v>
      </c>
      <c r="AB40" s="11" t="n">
        <f aca="false">SUM(AB31:AB39)</f>
        <v>28619.1666666667</v>
      </c>
      <c r="AC40" s="11" t="n">
        <f aca="false">SUM(AC31:AC39)</f>
        <v>28619.1666666667</v>
      </c>
      <c r="AD40" s="11" t="n">
        <f aca="false">SUM(AD31:AD39)</f>
        <v>28619.1666666667</v>
      </c>
      <c r="AE40" s="11" t="n">
        <f aca="false">SUM(AE31:AE39)</f>
        <v>37369.1666666667</v>
      </c>
      <c r="AF40" s="11" t="n">
        <f aca="false">SUM(AF31:AF39)</f>
        <v>37369.1666666667</v>
      </c>
      <c r="AG40" s="11" t="n">
        <f aca="false">SUM(AG31:AG39)</f>
        <v>37369.1666666667</v>
      </c>
      <c r="AH40" s="11" t="n">
        <f aca="false">SUM(AH31:AH39)</f>
        <v>37369.1666666667</v>
      </c>
      <c r="AI40" s="11" t="n">
        <f aca="false">SUM(AI31:AI39)</f>
        <v>37369.1666666667</v>
      </c>
      <c r="AJ40" s="11" t="n">
        <f aca="false">SUM(AJ31:AJ39)</f>
        <v>37369.1666666667</v>
      </c>
      <c r="AK40" s="11" t="n">
        <f aca="false">SUM(AK31:AK39)</f>
        <v>37369.1666666667</v>
      </c>
      <c r="AL40" s="11" t="n">
        <f aca="false">SUM(AL31:AL39)</f>
        <v>37369.1666666667</v>
      </c>
    </row>
    <row r="41" customFormat="false" ht="15" hidden="false" customHeight="false" outlineLevel="0" collapsed="false">
      <c r="A41" s="3" t="s">
        <v>223</v>
      </c>
      <c r="B41" s="4"/>
      <c r="C41" s="11" t="n">
        <f aca="false">C29-C40</f>
        <v>-12346.1666666667</v>
      </c>
      <c r="D41" s="11" t="n">
        <f aca="false">D29-D40</f>
        <v>-14646.1666666667</v>
      </c>
      <c r="E41" s="11" t="n">
        <f aca="false">E29-E40</f>
        <v>-6506.16666666667</v>
      </c>
      <c r="F41" s="11" t="n">
        <f aca="false">F29-F40</f>
        <v>-10386.1666666667</v>
      </c>
      <c r="G41" s="11" t="n">
        <f aca="false">G29-G40</f>
        <v>-7186.16666666667</v>
      </c>
      <c r="H41" s="11" t="n">
        <f aca="false">H29-H40</f>
        <v>-3386.16666666667</v>
      </c>
      <c r="I41" s="11" t="n">
        <f aca="false">I29-I40</f>
        <v>-8661.16666666667</v>
      </c>
      <c r="J41" s="11" t="n">
        <f aca="false">J29-J40</f>
        <v>3828.83333333333</v>
      </c>
      <c r="K41" s="11" t="n">
        <f aca="false">K29-K40</f>
        <v>-6511.16666666667</v>
      </c>
      <c r="L41" s="11" t="n">
        <f aca="false">L29-L40</f>
        <v>3378.83333333333</v>
      </c>
      <c r="M41" s="11" t="n">
        <f aca="false">M29-M40</f>
        <v>-3936.16666666667</v>
      </c>
      <c r="N41" s="11" t="n">
        <f aca="false">N29-N40</f>
        <v>728.833333333334</v>
      </c>
      <c r="O41" s="11" t="n">
        <f aca="false">O29-O40</f>
        <v>794.666666666664</v>
      </c>
      <c r="P41" s="11" t="n">
        <f aca="false">P29-P40</f>
        <v>1194.66666666666</v>
      </c>
      <c r="Q41" s="11" t="n">
        <f aca="false">Q29-Q40</f>
        <v>4280.91666666666</v>
      </c>
      <c r="R41" s="11" t="n">
        <f aca="false">R29-R40</f>
        <v>11743.4166666667</v>
      </c>
      <c r="S41" s="11" t="n">
        <f aca="false">S29-S40</f>
        <v>-3700.75</v>
      </c>
      <c r="T41" s="11" t="n">
        <f aca="false">T29-T40</f>
        <v>6635.5</v>
      </c>
      <c r="U41" s="11" t="n">
        <f aca="false">U29-U40</f>
        <v>12429.25</v>
      </c>
      <c r="V41" s="11" t="n">
        <f aca="false">V29-V40</f>
        <v>9319.25</v>
      </c>
      <c r="W41" s="11" t="n">
        <f aca="false">W29-W40</f>
        <v>7338</v>
      </c>
      <c r="X41" s="11" t="n">
        <f aca="false">X29-X40</f>
        <v>6778</v>
      </c>
      <c r="Y41" s="11" t="n">
        <f aca="false">Y29-Y40</f>
        <v>17486.75</v>
      </c>
      <c r="Z41" s="11" t="n">
        <f aca="false">Z29-Z40</f>
        <v>3834.25</v>
      </c>
      <c r="AA41" s="11" t="n">
        <f aca="false">AA29-AA40</f>
        <v>17384.9208333333</v>
      </c>
      <c r="AB41" s="11" t="n">
        <f aca="false">AB29-AB40</f>
        <v>9517.85833333333</v>
      </c>
      <c r="AC41" s="11" t="n">
        <f aca="false">AC29-AC40</f>
        <v>14957.8583333333</v>
      </c>
      <c r="AD41" s="11" t="n">
        <f aca="false">AD29-AD40</f>
        <v>32780.7958333333</v>
      </c>
      <c r="AE41" s="11" t="n">
        <f aca="false">AE29-AE40</f>
        <v>3470.17083333332</v>
      </c>
      <c r="AF41" s="11" t="n">
        <f aca="false">AF29-AF40</f>
        <v>13828.7333333333</v>
      </c>
      <c r="AG41" s="11" t="n">
        <f aca="false">AG29-AG40</f>
        <v>11961.6708333333</v>
      </c>
      <c r="AH41" s="11" t="n">
        <f aca="false">AH29-AH40</f>
        <v>16626.6708333333</v>
      </c>
      <c r="AI41" s="11" t="n">
        <f aca="false">AI29-AI40</f>
        <v>32024.6083333333</v>
      </c>
      <c r="AJ41" s="11" t="n">
        <f aca="false">AJ29-AJ40</f>
        <v>20953.9833333333</v>
      </c>
      <c r="AK41" s="11" t="n">
        <f aca="false">AK29-AK40</f>
        <v>23351.9208333333</v>
      </c>
      <c r="AL41" s="11" t="n">
        <f aca="false">AL29-AL40</f>
        <v>20524.8583333333</v>
      </c>
    </row>
    <row r="42" customFormat="false" ht="15" hidden="false" customHeight="false" outlineLevel="0" collapsed="false">
      <c r="A42" s="2" t="s">
        <v>224</v>
      </c>
      <c r="B42" s="4"/>
      <c r="C42" s="11" t="n">
        <f aca="false">SUM(INDEX($C$41:$AL$41,MAX(1,C$2-11)):C41)</f>
        <v>-12346.1666666667</v>
      </c>
      <c r="D42" s="11" t="n">
        <f aca="false">SUM(INDEX($C$41:$AL$41,MAX(1,D$2-11)):D41)</f>
        <v>-26992.3333333333</v>
      </c>
      <c r="E42" s="11" t="n">
        <f aca="false">SUM(INDEX($C$41:$AL$41,MAX(1,E$2-11)):E41)</f>
        <v>-33498.5</v>
      </c>
      <c r="F42" s="11" t="n">
        <f aca="false">SUM(INDEX($C$41:$AL$41,MAX(1,F$2-11)):F41)</f>
        <v>-43884.6666666667</v>
      </c>
      <c r="G42" s="11" t="n">
        <f aca="false">SUM(INDEX($C$41:$AL$41,MAX(1,G$2-11)):G41)</f>
        <v>-51070.8333333333</v>
      </c>
      <c r="H42" s="11" t="n">
        <f aca="false">SUM(INDEX($C$41:$AL$41,MAX(1,H$2-11)):H41)</f>
        <v>-54457</v>
      </c>
      <c r="I42" s="11" t="n">
        <f aca="false">SUM(INDEX($C$41:$AL$41,MAX(1,I$2-11)):I41)</f>
        <v>-63118.1666666667</v>
      </c>
      <c r="J42" s="11" t="n">
        <f aca="false">SUM(INDEX($C$41:$AL$41,MAX(1,J$2-11)):J41)</f>
        <v>-59289.3333333333</v>
      </c>
      <c r="K42" s="11" t="n">
        <f aca="false">SUM(INDEX($C$41:$AL$41,MAX(1,K$2-11)):K41)</f>
        <v>-65800.5</v>
      </c>
      <c r="L42" s="11" t="n">
        <f aca="false">SUM(INDEX($C$41:$AL$41,MAX(1,L$2-11)):L41)</f>
        <v>-62421.6666666667</v>
      </c>
      <c r="M42" s="11" t="n">
        <f aca="false">SUM(INDEX($C$41:$AL$41,MAX(1,M$2-11)):M41)</f>
        <v>-66357.8333333333</v>
      </c>
      <c r="N42" s="11" t="n">
        <f aca="false">SUM(INDEX($C$41:$AL$41,MAX(1,N$2-11)):N41)</f>
        <v>-65629</v>
      </c>
      <c r="O42" s="11" t="n">
        <f aca="false">SUM(INDEX($C$41:$AL$41,MAX(1,O$2-11)):O41)</f>
        <v>-52488.1666666667</v>
      </c>
      <c r="P42" s="11" t="n">
        <f aca="false">SUM(INDEX($C$41:$AL$41,MAX(1,P$2-11)):P41)</f>
        <v>-36647.3333333333</v>
      </c>
      <c r="Q42" s="11" t="n">
        <f aca="false">SUM(INDEX($C$41:$AL$41,MAX(1,Q$2-11)):Q41)</f>
        <v>-25860.25</v>
      </c>
      <c r="R42" s="11" t="n">
        <f aca="false">SUM(INDEX($C$41:$AL$41,MAX(1,R$2-11)):R41)</f>
        <v>-3730.66666666667</v>
      </c>
      <c r="S42" s="11" t="n">
        <f aca="false">SUM(INDEX($C$41:$AL$41,MAX(1,S$2-11)):S41)</f>
        <v>-245.250000000005</v>
      </c>
      <c r="T42" s="11" t="n">
        <f aca="false">SUM(INDEX($C$41:$AL$41,MAX(1,T$2-11)):T41)</f>
        <v>9776.41666666666</v>
      </c>
      <c r="U42" s="11" t="n">
        <f aca="false">SUM(INDEX($C$41:$AL$41,MAX(1,U$2-11)):U41)</f>
        <v>30866.8333333333</v>
      </c>
      <c r="V42" s="11" t="n">
        <f aca="false">SUM(INDEX($C$41:$AL$41,MAX(1,V$2-11)):V41)</f>
        <v>36357.25</v>
      </c>
      <c r="W42" s="11" t="n">
        <f aca="false">SUM(INDEX($C$41:$AL$41,MAX(1,W$2-11)):W41)</f>
        <v>50206.4166666667</v>
      </c>
      <c r="X42" s="11" t="n">
        <f aca="false">SUM(INDEX($C$41:$AL$41,MAX(1,X$2-11)):X41)</f>
        <v>53605.5833333333</v>
      </c>
      <c r="Y42" s="11" t="n">
        <f aca="false">SUM(INDEX($C$41:$AL$41,MAX(1,Y$2-11)):Y41)</f>
        <v>75028.5</v>
      </c>
      <c r="Z42" s="11" t="n">
        <f aca="false">SUM(INDEX($C$41:$AL$41,MAX(1,Z$2-11)):Z41)</f>
        <v>78133.9166666667</v>
      </c>
      <c r="AA42" s="11" t="n">
        <f aca="false">SUM(INDEX($C$41:$AL$41,MAX(1,AA$2-11)):AA41)</f>
        <v>94724.1708333333</v>
      </c>
      <c r="AB42" s="11" t="n">
        <f aca="false">SUM(INDEX($C$41:$AL$41,MAX(1,AB$2-11)):AB41)</f>
        <v>103047.3625</v>
      </c>
      <c r="AC42" s="11" t="n">
        <f aca="false">SUM(INDEX($C$41:$AL$41,MAX(1,AC$2-11)):AC41)</f>
        <v>113724.304166667</v>
      </c>
      <c r="AD42" s="11" t="n">
        <f aca="false">SUM(INDEX($C$41:$AL$41,MAX(1,AD$2-11)):AD41)</f>
        <v>134761.683333333</v>
      </c>
      <c r="AE42" s="11" t="n">
        <f aca="false">SUM(INDEX($C$41:$AL$41,MAX(1,AE$2-11)):AE41)</f>
        <v>141932.604166667</v>
      </c>
      <c r="AF42" s="11" t="n">
        <f aca="false">SUM(INDEX($C$41:$AL$41,MAX(1,AF$2-11)):AF41)</f>
        <v>149125.8375</v>
      </c>
      <c r="AG42" s="11" t="n">
        <f aca="false">SUM(INDEX($C$41:$AL$41,MAX(1,AG$2-11)):AG41)</f>
        <v>148658.258333333</v>
      </c>
      <c r="AH42" s="11" t="n">
        <f aca="false">SUM(INDEX($C$41:$AL$41,MAX(1,AH$2-11)):AH41)</f>
        <v>155965.679166667</v>
      </c>
      <c r="AI42" s="11" t="n">
        <f aca="false">SUM(INDEX($C$41:$AL$41,MAX(1,AI$2-11)):AI41)</f>
        <v>180652.2875</v>
      </c>
      <c r="AJ42" s="11" t="n">
        <f aca="false">SUM(INDEX($C$41:$AL$41,MAX(1,AJ$2-11)):AJ41)</f>
        <v>194828.270833333</v>
      </c>
      <c r="AK42" s="11" t="n">
        <f aca="false">SUM(INDEX($C$41:$AL$41,MAX(1,AK$2-11)):AK41)</f>
        <v>200693.441666667</v>
      </c>
      <c r="AL42" s="11" t="n">
        <f aca="false">SUM(INDEX($C$41:$AL$41,MAX(1,AL$2-11)):AL41)</f>
        <v>217384.05</v>
      </c>
    </row>
    <row r="43" customFormat="false" ht="15" hidden="false" customHeight="false" outlineLevel="0" collapsed="false">
      <c r="A43" s="14" t="s">
        <v>225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customFormat="false" ht="15" hidden="false" customHeight="false" outlineLevel="0" collapsed="false">
      <c r="A44" s="2" t="s">
        <v>226</v>
      </c>
      <c r="B44" s="4"/>
      <c r="C44" s="11" t="n">
        <f aca="false">IF(C$2=Inputs!$E$52,Inputs!$E$53,0)</f>
        <v>35000</v>
      </c>
      <c r="D44" s="11" t="n">
        <f aca="false">IF(D$2=Inputs!$E$52,Inputs!$E$53,0)</f>
        <v>0</v>
      </c>
      <c r="E44" s="11" t="n">
        <f aca="false">IF(E$2=Inputs!$E$52,Inputs!$E$53,0)</f>
        <v>0</v>
      </c>
      <c r="F44" s="11" t="n">
        <f aca="false">IF(F$2=Inputs!$E$52,Inputs!$E$53,0)</f>
        <v>0</v>
      </c>
      <c r="G44" s="11" t="n">
        <f aca="false">IF(G$2=Inputs!$E$52,Inputs!$E$53,0)</f>
        <v>0</v>
      </c>
      <c r="H44" s="11" t="n">
        <f aca="false">IF(H$2=Inputs!$E$52,Inputs!$E$53,0)</f>
        <v>0</v>
      </c>
      <c r="I44" s="11" t="n">
        <f aca="false">IF(I$2=Inputs!$E$52,Inputs!$E$53,0)</f>
        <v>0</v>
      </c>
      <c r="J44" s="11" t="n">
        <f aca="false">IF(J$2=Inputs!$E$52,Inputs!$E$53,0)</f>
        <v>0</v>
      </c>
      <c r="K44" s="11" t="n">
        <f aca="false">IF(K$2=Inputs!$E$52,Inputs!$E$53,0)</f>
        <v>0</v>
      </c>
      <c r="L44" s="11" t="n">
        <f aca="false">IF(L$2=Inputs!$E$52,Inputs!$E$53,0)</f>
        <v>0</v>
      </c>
      <c r="M44" s="11" t="n">
        <f aca="false">IF(M$2=Inputs!$E$52,Inputs!$E$53,0)</f>
        <v>0</v>
      </c>
      <c r="N44" s="11" t="n">
        <f aca="false">IF(N$2=Inputs!$E$52,Inputs!$E$53,0)</f>
        <v>0</v>
      </c>
      <c r="O44" s="11" t="n">
        <f aca="false">IF(O$2=Inputs!$E$52,Inputs!$E$53,0)</f>
        <v>0</v>
      </c>
      <c r="P44" s="11" t="n">
        <f aca="false">IF(P$2=Inputs!$E$52,Inputs!$E$53,0)</f>
        <v>0</v>
      </c>
      <c r="Q44" s="11" t="n">
        <f aca="false">IF(Q$2=Inputs!$E$52,Inputs!$E$53,0)</f>
        <v>0</v>
      </c>
      <c r="R44" s="11" t="n">
        <f aca="false">IF(R$2=Inputs!$E$52,Inputs!$E$53,0)</f>
        <v>0</v>
      </c>
      <c r="S44" s="11" t="n">
        <f aca="false">IF(S$2=Inputs!$E$52,Inputs!$E$53,0)</f>
        <v>0</v>
      </c>
      <c r="T44" s="11" t="n">
        <f aca="false">IF(T$2=Inputs!$E$52,Inputs!$E$53,0)</f>
        <v>0</v>
      </c>
      <c r="U44" s="11" t="n">
        <f aca="false">IF(U$2=Inputs!$E$52,Inputs!$E$53,0)</f>
        <v>0</v>
      </c>
      <c r="V44" s="11" t="n">
        <f aca="false">IF(V$2=Inputs!$E$52,Inputs!$E$53,0)</f>
        <v>0</v>
      </c>
      <c r="W44" s="11" t="n">
        <f aca="false">IF(W$2=Inputs!$E$52,Inputs!$E$53,0)</f>
        <v>0</v>
      </c>
      <c r="X44" s="11" t="n">
        <f aca="false">IF(X$2=Inputs!$E$52,Inputs!$E$53,0)</f>
        <v>0</v>
      </c>
      <c r="Y44" s="11" t="n">
        <f aca="false">IF(Y$2=Inputs!$E$52,Inputs!$E$53,0)</f>
        <v>0</v>
      </c>
      <c r="Z44" s="11" t="n">
        <f aca="false">IF(Z$2=Inputs!$E$52,Inputs!$E$53,0)</f>
        <v>0</v>
      </c>
      <c r="AA44" s="11" t="n">
        <f aca="false">IF(AA$2=Inputs!$E$52,Inputs!$E$53,0)</f>
        <v>0</v>
      </c>
      <c r="AB44" s="11" t="n">
        <f aca="false">IF(AB$2=Inputs!$E$52,Inputs!$E$53,0)</f>
        <v>0</v>
      </c>
      <c r="AC44" s="11" t="n">
        <f aca="false">IF(AC$2=Inputs!$E$52,Inputs!$E$53,0)</f>
        <v>0</v>
      </c>
      <c r="AD44" s="11" t="n">
        <f aca="false">IF(AD$2=Inputs!$E$52,Inputs!$E$53,0)</f>
        <v>0</v>
      </c>
      <c r="AE44" s="11" t="n">
        <f aca="false">IF(AE$2=Inputs!$E$52,Inputs!$E$53,0)</f>
        <v>0</v>
      </c>
      <c r="AF44" s="11" t="n">
        <f aca="false">IF(AF$2=Inputs!$E$52,Inputs!$E$53,0)</f>
        <v>0</v>
      </c>
      <c r="AG44" s="11" t="n">
        <f aca="false">IF(AG$2=Inputs!$E$52,Inputs!$E$53,0)</f>
        <v>0</v>
      </c>
      <c r="AH44" s="11" t="n">
        <f aca="false">IF(AH$2=Inputs!$E$52,Inputs!$E$53,0)</f>
        <v>0</v>
      </c>
      <c r="AI44" s="11" t="n">
        <f aca="false">IF(AI$2=Inputs!$E$52,Inputs!$E$53,0)</f>
        <v>0</v>
      </c>
      <c r="AJ44" s="11" t="n">
        <f aca="false">IF(AJ$2=Inputs!$E$52,Inputs!$E$53,0)</f>
        <v>0</v>
      </c>
      <c r="AK44" s="11" t="n">
        <f aca="false">IF(AK$2=Inputs!$E$52,Inputs!$E$53,0)</f>
        <v>0</v>
      </c>
      <c r="AL44" s="11" t="n">
        <f aca="false">IF(AL$2=Inputs!$E$52,Inputs!$E$53,0)</f>
        <v>0</v>
      </c>
    </row>
    <row r="45" customFormat="false" ht="15" hidden="false" customHeight="false" outlineLevel="0" collapsed="false">
      <c r="A45" s="2" t="s">
        <v>227</v>
      </c>
      <c r="B45" s="4"/>
      <c r="C45" s="11" t="n">
        <f aca="false">IF(C$2=1,Inputs!$E$54,0)</f>
        <v>0</v>
      </c>
      <c r="D45" s="11" t="n">
        <f aca="false">IF(D$2=1,Inputs!$E$54,0)</f>
        <v>0</v>
      </c>
      <c r="E45" s="11" t="n">
        <f aca="false">IF(E$2=1,Inputs!$E$54,0)</f>
        <v>0</v>
      </c>
      <c r="F45" s="11" t="n">
        <f aca="false">IF(F$2=1,Inputs!$E$54,0)</f>
        <v>0</v>
      </c>
      <c r="G45" s="11" t="n">
        <f aca="false">IF(G$2=1,Inputs!$E$54,0)</f>
        <v>0</v>
      </c>
      <c r="H45" s="11" t="n">
        <f aca="false">IF(H$2=1,Inputs!$E$54,0)</f>
        <v>0</v>
      </c>
      <c r="I45" s="11" t="n">
        <f aca="false">IF(I$2=1,Inputs!$E$54,0)</f>
        <v>0</v>
      </c>
      <c r="J45" s="11" t="n">
        <f aca="false">IF(J$2=1,Inputs!$E$54,0)</f>
        <v>0</v>
      </c>
      <c r="K45" s="11" t="n">
        <f aca="false">IF(K$2=1,Inputs!$E$54,0)</f>
        <v>0</v>
      </c>
      <c r="L45" s="11" t="n">
        <f aca="false">IF(L$2=1,Inputs!$E$54,0)</f>
        <v>0</v>
      </c>
      <c r="M45" s="11" t="n">
        <f aca="false">IF(M$2=1,Inputs!$E$54,0)</f>
        <v>0</v>
      </c>
      <c r="N45" s="11" t="n">
        <f aca="false">IF(N$2=1,Inputs!$E$54,0)</f>
        <v>0</v>
      </c>
      <c r="O45" s="11" t="n">
        <f aca="false">IF(O$2=1,Inputs!$E$54,0)</f>
        <v>0</v>
      </c>
      <c r="P45" s="11" t="n">
        <f aca="false">IF(P$2=1,Inputs!$E$54,0)</f>
        <v>0</v>
      </c>
      <c r="Q45" s="11" t="n">
        <f aca="false">IF(Q$2=1,Inputs!$E$54,0)</f>
        <v>0</v>
      </c>
      <c r="R45" s="11" t="n">
        <f aca="false">IF(R$2=1,Inputs!$E$54,0)</f>
        <v>0</v>
      </c>
      <c r="S45" s="11" t="n">
        <f aca="false">IF(S$2=1,Inputs!$E$54,0)</f>
        <v>0</v>
      </c>
      <c r="T45" s="11" t="n">
        <f aca="false">IF(T$2=1,Inputs!$E$54,0)</f>
        <v>0</v>
      </c>
      <c r="U45" s="11" t="n">
        <f aca="false">IF(U$2=1,Inputs!$E$54,0)</f>
        <v>0</v>
      </c>
      <c r="V45" s="11" t="n">
        <f aca="false">IF(V$2=1,Inputs!$E$54,0)</f>
        <v>0</v>
      </c>
      <c r="W45" s="11" t="n">
        <f aca="false">IF(W$2=1,Inputs!$E$54,0)</f>
        <v>0</v>
      </c>
      <c r="X45" s="11" t="n">
        <f aca="false">IF(X$2=1,Inputs!$E$54,0)</f>
        <v>0</v>
      </c>
      <c r="Y45" s="11" t="n">
        <f aca="false">IF(Y$2=1,Inputs!$E$54,0)</f>
        <v>0</v>
      </c>
      <c r="Z45" s="11" t="n">
        <f aca="false">IF(Z$2=1,Inputs!$E$54,0)</f>
        <v>0</v>
      </c>
      <c r="AA45" s="11" t="n">
        <f aca="false">IF(AA$2=1,Inputs!$E$54,0)</f>
        <v>0</v>
      </c>
      <c r="AB45" s="11" t="n">
        <f aca="false">IF(AB$2=1,Inputs!$E$54,0)</f>
        <v>0</v>
      </c>
      <c r="AC45" s="11" t="n">
        <f aca="false">IF(AC$2=1,Inputs!$E$54,0)</f>
        <v>0</v>
      </c>
      <c r="AD45" s="11" t="n">
        <f aca="false">IF(AD$2=1,Inputs!$E$54,0)</f>
        <v>0</v>
      </c>
      <c r="AE45" s="11" t="n">
        <f aca="false">IF(AE$2=1,Inputs!$E$54,0)</f>
        <v>0</v>
      </c>
      <c r="AF45" s="11" t="n">
        <f aca="false">IF(AF$2=1,Inputs!$E$54,0)</f>
        <v>0</v>
      </c>
      <c r="AG45" s="11" t="n">
        <f aca="false">IF(AG$2=1,Inputs!$E$54,0)</f>
        <v>0</v>
      </c>
      <c r="AH45" s="11" t="n">
        <f aca="false">IF(AH$2=1,Inputs!$E$54,0)</f>
        <v>0</v>
      </c>
      <c r="AI45" s="11" t="n">
        <f aca="false">IF(AI$2=1,Inputs!$E$54,0)</f>
        <v>0</v>
      </c>
      <c r="AJ45" s="11" t="n">
        <f aca="false">IF(AJ$2=1,Inputs!$E$54,0)</f>
        <v>0</v>
      </c>
      <c r="AK45" s="11" t="n">
        <f aca="false">IF(AK$2=1,Inputs!$E$54,0)</f>
        <v>0</v>
      </c>
      <c r="AL45" s="11" t="n">
        <f aca="false">IF(AL$2=1,Inputs!$E$54,0)</f>
        <v>0</v>
      </c>
    </row>
    <row r="46" customFormat="false" ht="15" hidden="false" customHeight="false" outlineLevel="0" collapsed="false">
      <c r="A46" s="2" t="s">
        <v>228</v>
      </c>
      <c r="B46" s="4"/>
      <c r="C46" s="11" t="n">
        <f aca="false">IF(C$2=Inputs!$E$55,Inputs!$E$56,0)</f>
        <v>0</v>
      </c>
      <c r="D46" s="11" t="n">
        <f aca="false">IF(D$2=Inputs!$E$55,Inputs!$E$56,0)</f>
        <v>0</v>
      </c>
      <c r="E46" s="11" t="n">
        <f aca="false">IF(E$2=Inputs!$E$55,Inputs!$E$56,0)</f>
        <v>0</v>
      </c>
      <c r="F46" s="11" t="n">
        <f aca="false">IF(F$2=Inputs!$E$55,Inputs!$E$56,0)</f>
        <v>0</v>
      </c>
      <c r="G46" s="11" t="n">
        <f aca="false">IF(G$2=Inputs!$E$55,Inputs!$E$56,0)</f>
        <v>200000</v>
      </c>
      <c r="H46" s="11" t="n">
        <f aca="false">IF(H$2=Inputs!$E$55,Inputs!$E$56,0)</f>
        <v>0</v>
      </c>
      <c r="I46" s="11" t="n">
        <f aca="false">IF(I$2=Inputs!$E$55,Inputs!$E$56,0)</f>
        <v>0</v>
      </c>
      <c r="J46" s="11" t="n">
        <f aca="false">IF(J$2=Inputs!$E$55,Inputs!$E$56,0)</f>
        <v>0</v>
      </c>
      <c r="K46" s="11" t="n">
        <f aca="false">IF(K$2=Inputs!$E$55,Inputs!$E$56,0)</f>
        <v>0</v>
      </c>
      <c r="L46" s="11" t="n">
        <f aca="false">IF(L$2=Inputs!$E$55,Inputs!$E$56,0)</f>
        <v>0</v>
      </c>
      <c r="M46" s="11" t="n">
        <f aca="false">IF(M$2=Inputs!$E$55,Inputs!$E$56,0)</f>
        <v>0</v>
      </c>
      <c r="N46" s="11" t="n">
        <f aca="false">IF(N$2=Inputs!$E$55,Inputs!$E$56,0)</f>
        <v>0</v>
      </c>
      <c r="O46" s="11" t="n">
        <f aca="false">IF(O$2=Inputs!$E$55,Inputs!$E$56,0)</f>
        <v>0</v>
      </c>
      <c r="P46" s="11" t="n">
        <f aca="false">IF(P$2=Inputs!$E$55,Inputs!$E$56,0)</f>
        <v>0</v>
      </c>
      <c r="Q46" s="11" t="n">
        <f aca="false">IF(Q$2=Inputs!$E$55,Inputs!$E$56,0)</f>
        <v>0</v>
      </c>
      <c r="R46" s="11" t="n">
        <f aca="false">IF(R$2=Inputs!$E$55,Inputs!$E$56,0)</f>
        <v>0</v>
      </c>
      <c r="S46" s="11" t="n">
        <f aca="false">IF(S$2=Inputs!$E$55,Inputs!$E$56,0)</f>
        <v>0</v>
      </c>
      <c r="T46" s="11" t="n">
        <f aca="false">IF(T$2=Inputs!$E$55,Inputs!$E$56,0)</f>
        <v>0</v>
      </c>
      <c r="U46" s="11" t="n">
        <f aca="false">IF(U$2=Inputs!$E$55,Inputs!$E$56,0)</f>
        <v>0</v>
      </c>
      <c r="V46" s="11" t="n">
        <f aca="false">IF(V$2=Inputs!$E$55,Inputs!$E$56,0)</f>
        <v>0</v>
      </c>
      <c r="W46" s="11" t="n">
        <f aca="false">IF(W$2=Inputs!$E$55,Inputs!$E$56,0)</f>
        <v>0</v>
      </c>
      <c r="X46" s="11" t="n">
        <f aca="false">IF(X$2=Inputs!$E$55,Inputs!$E$56,0)</f>
        <v>0</v>
      </c>
      <c r="Y46" s="11" t="n">
        <f aca="false">IF(Y$2=Inputs!$E$55,Inputs!$E$56,0)</f>
        <v>0</v>
      </c>
      <c r="Z46" s="11" t="n">
        <f aca="false">IF(Z$2=Inputs!$E$55,Inputs!$E$56,0)</f>
        <v>0</v>
      </c>
      <c r="AA46" s="11" t="n">
        <f aca="false">IF(AA$2=Inputs!$E$55,Inputs!$E$56,0)</f>
        <v>0</v>
      </c>
      <c r="AB46" s="11" t="n">
        <f aca="false">IF(AB$2=Inputs!$E$55,Inputs!$E$56,0)</f>
        <v>0</v>
      </c>
      <c r="AC46" s="11" t="n">
        <f aca="false">IF(AC$2=Inputs!$E$55,Inputs!$E$56,0)</f>
        <v>0</v>
      </c>
      <c r="AD46" s="11" t="n">
        <f aca="false">IF(AD$2=Inputs!$E$55,Inputs!$E$56,0)</f>
        <v>0</v>
      </c>
      <c r="AE46" s="11" t="n">
        <f aca="false">IF(AE$2=Inputs!$E$55,Inputs!$E$56,0)</f>
        <v>0</v>
      </c>
      <c r="AF46" s="11" t="n">
        <f aca="false">IF(AF$2=Inputs!$E$55,Inputs!$E$56,0)</f>
        <v>0</v>
      </c>
      <c r="AG46" s="11" t="n">
        <f aca="false">IF(AG$2=Inputs!$E$55,Inputs!$E$56,0)</f>
        <v>0</v>
      </c>
      <c r="AH46" s="11" t="n">
        <f aca="false">IF(AH$2=Inputs!$E$55,Inputs!$E$56,0)</f>
        <v>0</v>
      </c>
      <c r="AI46" s="11" t="n">
        <f aca="false">IF(AI$2=Inputs!$E$55,Inputs!$E$56,0)</f>
        <v>0</v>
      </c>
      <c r="AJ46" s="11" t="n">
        <f aca="false">IF(AJ$2=Inputs!$E$55,Inputs!$E$56,0)</f>
        <v>0</v>
      </c>
      <c r="AK46" s="11" t="n">
        <f aca="false">IF(AK$2=Inputs!$E$55,Inputs!$E$56,0)</f>
        <v>0</v>
      </c>
      <c r="AL46" s="11" t="n">
        <f aca="false">IF(AL$2=Inputs!$E$55,Inputs!$E$56,0)</f>
        <v>0</v>
      </c>
    </row>
    <row r="47" customFormat="false" ht="15" hidden="false" customHeight="false" outlineLevel="0" collapsed="false">
      <c r="A47" s="2" t="s">
        <v>229</v>
      </c>
      <c r="B47" s="4"/>
      <c r="C47" s="11" t="n">
        <f aca="false">IF(C$2=Inputs!$E$59,Inputs!$E$60,0)</f>
        <v>0</v>
      </c>
      <c r="D47" s="11" t="n">
        <f aca="false">IF(D$2=Inputs!$E$59,Inputs!$E$60,0)</f>
        <v>0</v>
      </c>
      <c r="E47" s="11" t="n">
        <f aca="false">IF(E$2=Inputs!$E$59,Inputs!$E$60,0)</f>
        <v>0</v>
      </c>
      <c r="F47" s="11" t="n">
        <f aca="false">IF(F$2=Inputs!$E$59,Inputs!$E$60,0)</f>
        <v>0</v>
      </c>
      <c r="G47" s="11" t="n">
        <f aca="false">IF(G$2=Inputs!$E$59,Inputs!$E$60,0)</f>
        <v>200000</v>
      </c>
      <c r="H47" s="11" t="n">
        <f aca="false">IF(H$2=Inputs!$E$59,Inputs!$E$60,0)</f>
        <v>0</v>
      </c>
      <c r="I47" s="11" t="n">
        <f aca="false">IF(I$2=Inputs!$E$59,Inputs!$E$60,0)</f>
        <v>0</v>
      </c>
      <c r="J47" s="11" t="n">
        <f aca="false">IF(J$2=Inputs!$E$59,Inputs!$E$60,0)</f>
        <v>0</v>
      </c>
      <c r="K47" s="11" t="n">
        <f aca="false">IF(K$2=Inputs!$E$59,Inputs!$E$60,0)</f>
        <v>0</v>
      </c>
      <c r="L47" s="11" t="n">
        <f aca="false">IF(L$2=Inputs!$E$59,Inputs!$E$60,0)</f>
        <v>0</v>
      </c>
      <c r="M47" s="11" t="n">
        <f aca="false">IF(M$2=Inputs!$E$59,Inputs!$E$60,0)</f>
        <v>0</v>
      </c>
      <c r="N47" s="11" t="n">
        <f aca="false">IF(N$2=Inputs!$E$59,Inputs!$E$60,0)</f>
        <v>0</v>
      </c>
      <c r="O47" s="11" t="n">
        <f aca="false">IF(O$2=Inputs!$E$59,Inputs!$E$60,0)</f>
        <v>0</v>
      </c>
      <c r="P47" s="11" t="n">
        <f aca="false">IF(P$2=Inputs!$E$59,Inputs!$E$60,0)</f>
        <v>0</v>
      </c>
      <c r="Q47" s="11" t="n">
        <f aca="false">IF(Q$2=Inputs!$E$59,Inputs!$E$60,0)</f>
        <v>0</v>
      </c>
      <c r="R47" s="11" t="n">
        <f aca="false">IF(R$2=Inputs!$E$59,Inputs!$E$60,0)</f>
        <v>0</v>
      </c>
      <c r="S47" s="11" t="n">
        <f aca="false">IF(S$2=Inputs!$E$59,Inputs!$E$60,0)</f>
        <v>0</v>
      </c>
      <c r="T47" s="11" t="n">
        <f aca="false">IF(T$2=Inputs!$E$59,Inputs!$E$60,0)</f>
        <v>0</v>
      </c>
      <c r="U47" s="11" t="n">
        <f aca="false">IF(U$2=Inputs!$E$59,Inputs!$E$60,0)</f>
        <v>0</v>
      </c>
      <c r="V47" s="11" t="n">
        <f aca="false">IF(V$2=Inputs!$E$59,Inputs!$E$60,0)</f>
        <v>0</v>
      </c>
      <c r="W47" s="11" t="n">
        <f aca="false">IF(W$2=Inputs!$E$59,Inputs!$E$60,0)</f>
        <v>0</v>
      </c>
      <c r="X47" s="11" t="n">
        <f aca="false">IF(X$2=Inputs!$E$59,Inputs!$E$60,0)</f>
        <v>0</v>
      </c>
      <c r="Y47" s="11" t="n">
        <f aca="false">IF(Y$2=Inputs!$E$59,Inputs!$E$60,0)</f>
        <v>0</v>
      </c>
      <c r="Z47" s="11" t="n">
        <f aca="false">IF(Z$2=Inputs!$E$59,Inputs!$E$60,0)</f>
        <v>0</v>
      </c>
      <c r="AA47" s="11" t="n">
        <f aca="false">IF(AA$2=Inputs!$E$59,Inputs!$E$60,0)</f>
        <v>0</v>
      </c>
      <c r="AB47" s="11" t="n">
        <f aca="false">IF(AB$2=Inputs!$E$59,Inputs!$E$60,0)</f>
        <v>0</v>
      </c>
      <c r="AC47" s="11" t="n">
        <f aca="false">IF(AC$2=Inputs!$E$59,Inputs!$E$60,0)</f>
        <v>0</v>
      </c>
      <c r="AD47" s="11" t="n">
        <f aca="false">IF(AD$2=Inputs!$E$59,Inputs!$E$60,0)</f>
        <v>0</v>
      </c>
      <c r="AE47" s="11" t="n">
        <f aca="false">IF(AE$2=Inputs!$E$59,Inputs!$E$60,0)</f>
        <v>0</v>
      </c>
      <c r="AF47" s="11" t="n">
        <f aca="false">IF(AF$2=Inputs!$E$59,Inputs!$E$60,0)</f>
        <v>0</v>
      </c>
      <c r="AG47" s="11" t="n">
        <f aca="false">IF(AG$2=Inputs!$E$59,Inputs!$E$60,0)</f>
        <v>0</v>
      </c>
      <c r="AH47" s="11" t="n">
        <f aca="false">IF(AH$2=Inputs!$E$59,Inputs!$E$60,0)</f>
        <v>0</v>
      </c>
      <c r="AI47" s="11" t="n">
        <f aca="false">IF(AI$2=Inputs!$E$59,Inputs!$E$60,0)</f>
        <v>0</v>
      </c>
      <c r="AJ47" s="11" t="n">
        <f aca="false">IF(AJ$2=Inputs!$E$59,Inputs!$E$60,0)</f>
        <v>0</v>
      </c>
      <c r="AK47" s="11" t="n">
        <f aca="false">IF(AK$2=Inputs!$E$59,Inputs!$E$60,0)</f>
        <v>0</v>
      </c>
      <c r="AL47" s="11" t="n">
        <f aca="false">IF(AL$2=Inputs!$E$59,Inputs!$E$60,0)</f>
        <v>0</v>
      </c>
    </row>
    <row r="48" customFormat="false" ht="15" hidden="false" customHeight="false" outlineLevel="0" collapsed="false">
      <c r="A48" s="2" t="s">
        <v>230</v>
      </c>
      <c r="B48" s="4"/>
      <c r="C48" s="11" t="n">
        <f aca="false">0</f>
        <v>0</v>
      </c>
      <c r="D48" s="11" t="n">
        <f aca="false">C51</f>
        <v>0</v>
      </c>
      <c r="E48" s="11" t="n">
        <f aca="false">D51</f>
        <v>0</v>
      </c>
      <c r="F48" s="11" t="n">
        <f aca="false">E51</f>
        <v>0</v>
      </c>
      <c r="G48" s="11" t="n">
        <f aca="false">F51</f>
        <v>0</v>
      </c>
      <c r="H48" s="11" t="n">
        <f aca="false">G51</f>
        <v>200000</v>
      </c>
      <c r="I48" s="11" t="n">
        <f aca="false">H51</f>
        <v>199051.300064489</v>
      </c>
      <c r="J48" s="11" t="n">
        <f aca="false">I51</f>
        <v>198094.299004542</v>
      </c>
      <c r="K48" s="11" t="n">
        <f aca="false">J51</f>
        <v>197128.924185321</v>
      </c>
      <c r="L48" s="11" t="n">
        <f aca="false">K51</f>
        <v>196155.102336432</v>
      </c>
      <c r="M48" s="11" t="n">
        <f aca="false">L51</f>
        <v>195172.759546365</v>
      </c>
      <c r="N48" s="11" t="n">
        <f aca="false">M51</f>
        <v>194181.821256885</v>
      </c>
      <c r="O48" s="11" t="n">
        <f aca="false">N51</f>
        <v>193182.212257371</v>
      </c>
      <c r="P48" s="11" t="n">
        <f aca="false">O51</f>
        <v>192173.856679112</v>
      </c>
      <c r="Q48" s="11" t="n">
        <f aca="false">P51</f>
        <v>191156.677989544</v>
      </c>
      <c r="R48" s="11" t="n">
        <f aca="false">Q51</f>
        <v>190130.598986441</v>
      </c>
      <c r="S48" s="11" t="n">
        <f aca="false">R51</f>
        <v>189095.541792062</v>
      </c>
      <c r="T48" s="11" t="n">
        <f aca="false">S51</f>
        <v>188051.427847231</v>
      </c>
      <c r="U48" s="11" t="n">
        <f aca="false">T51</f>
        <v>186998.177905384</v>
      </c>
      <c r="V48" s="11" t="n">
        <f aca="false">U51</f>
        <v>185935.712026545</v>
      </c>
      <c r="W48" s="11" t="n">
        <f aca="false">V51</f>
        <v>184863.949571266</v>
      </c>
      <c r="X48" s="11" t="n">
        <f aca="false">W51</f>
        <v>183782.809194504</v>
      </c>
      <c r="Y48" s="11" t="n">
        <f aca="false">X51</f>
        <v>182692.208839445</v>
      </c>
      <c r="Z48" s="11" t="n">
        <f aca="false">Y51</f>
        <v>181592.065731279</v>
      </c>
      <c r="AA48" s="11" t="n">
        <f aca="false">Z51</f>
        <v>180482.296370917</v>
      </c>
      <c r="AB48" s="11" t="n">
        <f aca="false">AA51</f>
        <v>179362.816528651</v>
      </c>
      <c r="AC48" s="11" t="n">
        <f aca="false">AB51</f>
        <v>178233.541237766</v>
      </c>
      <c r="AD48" s="11" t="n">
        <f aca="false">AC51</f>
        <v>177094.384788086</v>
      </c>
      <c r="AE48" s="11" t="n">
        <f aca="false">AD51</f>
        <v>175945.260719471</v>
      </c>
      <c r="AF48" s="11" t="n">
        <f aca="false">AE51</f>
        <v>174786.081815255</v>
      </c>
      <c r="AG48" s="11" t="n">
        <f aca="false">AF51</f>
        <v>173616.760095627</v>
      </c>
      <c r="AH48" s="11" t="n">
        <f aca="false">AG51</f>
        <v>172437.206810953</v>
      </c>
      <c r="AI48" s="11" t="n">
        <f aca="false">AH51</f>
        <v>171247.332435038</v>
      </c>
      <c r="AJ48" s="11" t="n">
        <f aca="false">AI51</f>
        <v>170047.046658334</v>
      </c>
      <c r="AK48" s="11" t="n">
        <f aca="false">AJ51</f>
        <v>168836.258381083</v>
      </c>
      <c r="AL48" s="11" t="n">
        <f aca="false">AK51</f>
        <v>167614.875706407</v>
      </c>
    </row>
    <row r="49" customFormat="false" ht="15" hidden="false" customHeight="false" outlineLevel="0" collapsed="false">
      <c r="A49" s="2" t="s">
        <v>231</v>
      </c>
      <c r="B49" s="4"/>
      <c r="C49" s="11" t="n">
        <f aca="false">C48*Inputs!$E$57/12</f>
        <v>0</v>
      </c>
      <c r="D49" s="11" t="n">
        <f aca="false">D48*Inputs!$E$57/12</f>
        <v>0</v>
      </c>
      <c r="E49" s="11" t="n">
        <f aca="false">E48*Inputs!$E$57/12</f>
        <v>0</v>
      </c>
      <c r="F49" s="11" t="n">
        <f aca="false">F48*Inputs!$E$57/12</f>
        <v>0</v>
      </c>
      <c r="G49" s="11" t="n">
        <f aca="false">G48*Inputs!$E$57/12</f>
        <v>0</v>
      </c>
      <c r="H49" s="11" t="n">
        <f aca="false">H48*Inputs!$E$57/12</f>
        <v>1750</v>
      </c>
      <c r="I49" s="11" t="n">
        <f aca="false">I48*Inputs!$E$57/12</f>
        <v>1741.69887556428</v>
      </c>
      <c r="J49" s="11" t="n">
        <f aca="false">J48*Inputs!$E$57/12</f>
        <v>1733.32511628975</v>
      </c>
      <c r="K49" s="11" t="n">
        <f aca="false">K48*Inputs!$E$57/12</f>
        <v>1724.87808662156</v>
      </c>
      <c r="L49" s="11" t="n">
        <f aca="false">L48*Inputs!$E$57/12</f>
        <v>1716.35714544378</v>
      </c>
      <c r="M49" s="11" t="n">
        <f aca="false">M48*Inputs!$E$57/12</f>
        <v>1707.76164603069</v>
      </c>
      <c r="N49" s="11" t="n">
        <f aca="false">N48*Inputs!$E$57/12</f>
        <v>1699.09093599774</v>
      </c>
      <c r="O49" s="11" t="n">
        <f aca="false">O48*Inputs!$E$57/12</f>
        <v>1690.344357252</v>
      </c>
      <c r="P49" s="11" t="n">
        <f aca="false">P48*Inputs!$E$57/12</f>
        <v>1681.52124594223</v>
      </c>
      <c r="Q49" s="11" t="n">
        <f aca="false">Q48*Inputs!$E$57/12</f>
        <v>1672.62093240851</v>
      </c>
      <c r="R49" s="11" t="n">
        <f aca="false">R48*Inputs!$E$57/12</f>
        <v>1663.64274113136</v>
      </c>
      <c r="S49" s="11" t="n">
        <f aca="false">S48*Inputs!$E$57/12</f>
        <v>1654.58599068054</v>
      </c>
      <c r="T49" s="11" t="n">
        <f aca="false">T48*Inputs!$E$57/12</f>
        <v>1645.44999366327</v>
      </c>
      <c r="U49" s="11" t="n">
        <f aca="false">U48*Inputs!$E$57/12</f>
        <v>1636.23405667211</v>
      </c>
      <c r="V49" s="11" t="n">
        <f aca="false">V48*Inputs!$E$57/12</f>
        <v>1626.93748023227</v>
      </c>
      <c r="W49" s="11" t="n">
        <f aca="false">W48*Inputs!$E$57/12</f>
        <v>1617.55955874858</v>
      </c>
      <c r="X49" s="11" t="n">
        <f aca="false">X48*Inputs!$E$57/12</f>
        <v>1608.09958045191</v>
      </c>
      <c r="Y49" s="11" t="n">
        <f aca="false">Y48*Inputs!$E$57/12</f>
        <v>1598.55682734514</v>
      </c>
      <c r="Z49" s="11" t="n">
        <f aca="false">Z48*Inputs!$E$57/12</f>
        <v>1588.93057514869</v>
      </c>
      <c r="AA49" s="11" t="n">
        <f aca="false">AA48*Inputs!$E$57/12</f>
        <v>1579.22009324552</v>
      </c>
      <c r="AB49" s="11" t="n">
        <f aca="false">AB48*Inputs!$E$57/12</f>
        <v>1569.4246446257</v>
      </c>
      <c r="AC49" s="11" t="n">
        <f aca="false">AC48*Inputs!$E$57/12</f>
        <v>1559.54348583045</v>
      </c>
      <c r="AD49" s="11" t="n">
        <f aca="false">AD48*Inputs!$E$57/12</f>
        <v>1549.57586689575</v>
      </c>
      <c r="AE49" s="11" t="n">
        <f aca="false">AE48*Inputs!$E$57/12</f>
        <v>1539.52103129537</v>
      </c>
      <c r="AF49" s="11" t="n">
        <f aca="false">AF48*Inputs!$E$57/12</f>
        <v>1529.37821588348</v>
      </c>
      <c r="AG49" s="11" t="n">
        <f aca="false">AG48*Inputs!$E$57/12</f>
        <v>1519.14665083674</v>
      </c>
      <c r="AH49" s="11" t="n">
        <f aca="false">AH48*Inputs!$E$57/12</f>
        <v>1508.82555959584</v>
      </c>
      <c r="AI49" s="11" t="n">
        <f aca="false">AI48*Inputs!$E$57/12</f>
        <v>1498.41415880658</v>
      </c>
      <c r="AJ49" s="11" t="n">
        <f aca="false">AJ48*Inputs!$E$57/12</f>
        <v>1487.91165826042</v>
      </c>
      <c r="AK49" s="11" t="n">
        <f aca="false">AK48*Inputs!$E$57/12</f>
        <v>1477.31726083448</v>
      </c>
      <c r="AL49" s="11" t="n">
        <f aca="false">AL48*Inputs!$E$57/12</f>
        <v>1466.63016243106</v>
      </c>
    </row>
    <row r="50" customFormat="false" ht="15" hidden="false" customHeight="false" outlineLevel="0" collapsed="false">
      <c r="A50" s="2" t="s">
        <v>232</v>
      </c>
      <c r="B50" s="4"/>
      <c r="C50" s="11" t="n">
        <f aca="false">IF(C$2&gt;Inputs!$E$55,MIN(Inputs!$E$62,C48+C49),0)</f>
        <v>0</v>
      </c>
      <c r="D50" s="11" t="n">
        <f aca="false">IF(D$2&gt;Inputs!$E$55,MIN(Inputs!$E$62,D48+D49),0)</f>
        <v>0</v>
      </c>
      <c r="E50" s="11" t="n">
        <f aca="false">IF(E$2&gt;Inputs!$E$55,MIN(Inputs!$E$62,E48+E49),0)</f>
        <v>0</v>
      </c>
      <c r="F50" s="11" t="n">
        <f aca="false">IF(F$2&gt;Inputs!$E$55,MIN(Inputs!$E$62,F48+F49),0)</f>
        <v>0</v>
      </c>
      <c r="G50" s="11" t="n">
        <f aca="false">IF(G$2&gt;Inputs!$E$55,MIN(Inputs!$E$62,G48+G49),0)</f>
        <v>0</v>
      </c>
      <c r="H50" s="11" t="n">
        <f aca="false">IF(H$2&gt;Inputs!$E$55,MIN(Inputs!$E$62,H48+H49),0)</f>
        <v>2698.69993551094</v>
      </c>
      <c r="I50" s="11" t="n">
        <f aca="false">IF(I$2&gt;Inputs!$E$55,MIN(Inputs!$E$62,I48+I49),0)</f>
        <v>2698.69993551094</v>
      </c>
      <c r="J50" s="11" t="n">
        <f aca="false">IF(J$2&gt;Inputs!$E$55,MIN(Inputs!$E$62,J48+J49),0)</f>
        <v>2698.69993551094</v>
      </c>
      <c r="K50" s="11" t="n">
        <f aca="false">IF(K$2&gt;Inputs!$E$55,MIN(Inputs!$E$62,K48+K49),0)</f>
        <v>2698.69993551094</v>
      </c>
      <c r="L50" s="11" t="n">
        <f aca="false">IF(L$2&gt;Inputs!$E$55,MIN(Inputs!$E$62,L48+L49),0)</f>
        <v>2698.69993551094</v>
      </c>
      <c r="M50" s="11" t="n">
        <f aca="false">IF(M$2&gt;Inputs!$E$55,MIN(Inputs!$E$62,M48+M49),0)</f>
        <v>2698.69993551094</v>
      </c>
      <c r="N50" s="11" t="n">
        <f aca="false">IF(N$2&gt;Inputs!$E$55,MIN(Inputs!$E$62,N48+N49),0)</f>
        <v>2698.69993551094</v>
      </c>
      <c r="O50" s="11" t="n">
        <f aca="false">IF(O$2&gt;Inputs!$E$55,MIN(Inputs!$E$62,O48+O49),0)</f>
        <v>2698.69993551094</v>
      </c>
      <c r="P50" s="11" t="n">
        <f aca="false">IF(P$2&gt;Inputs!$E$55,MIN(Inputs!$E$62,P48+P49),0)</f>
        <v>2698.69993551094</v>
      </c>
      <c r="Q50" s="11" t="n">
        <f aca="false">IF(Q$2&gt;Inputs!$E$55,MIN(Inputs!$E$62,Q48+Q49),0)</f>
        <v>2698.69993551094</v>
      </c>
      <c r="R50" s="11" t="n">
        <f aca="false">IF(R$2&gt;Inputs!$E$55,MIN(Inputs!$E$62,R48+R49),0)</f>
        <v>2698.69993551094</v>
      </c>
      <c r="S50" s="11" t="n">
        <f aca="false">IF(S$2&gt;Inputs!$E$55,MIN(Inputs!$E$62,S48+S49),0)</f>
        <v>2698.69993551094</v>
      </c>
      <c r="T50" s="11" t="n">
        <f aca="false">IF(T$2&gt;Inputs!$E$55,MIN(Inputs!$E$62,T48+T49),0)</f>
        <v>2698.69993551094</v>
      </c>
      <c r="U50" s="11" t="n">
        <f aca="false">IF(U$2&gt;Inputs!$E$55,MIN(Inputs!$E$62,U48+U49),0)</f>
        <v>2698.69993551094</v>
      </c>
      <c r="V50" s="11" t="n">
        <f aca="false">IF(V$2&gt;Inputs!$E$55,MIN(Inputs!$E$62,V48+V49),0)</f>
        <v>2698.69993551094</v>
      </c>
      <c r="W50" s="11" t="n">
        <f aca="false">IF(W$2&gt;Inputs!$E$55,MIN(Inputs!$E$62,W48+W49),0)</f>
        <v>2698.69993551094</v>
      </c>
      <c r="X50" s="11" t="n">
        <f aca="false">IF(X$2&gt;Inputs!$E$55,MIN(Inputs!$E$62,X48+X49),0)</f>
        <v>2698.69993551094</v>
      </c>
      <c r="Y50" s="11" t="n">
        <f aca="false">IF(Y$2&gt;Inputs!$E$55,MIN(Inputs!$E$62,Y48+Y49),0)</f>
        <v>2698.69993551094</v>
      </c>
      <c r="Z50" s="11" t="n">
        <f aca="false">IF(Z$2&gt;Inputs!$E$55,MIN(Inputs!$E$62,Z48+Z49),0)</f>
        <v>2698.69993551094</v>
      </c>
      <c r="AA50" s="11" t="n">
        <f aca="false">IF(AA$2&gt;Inputs!$E$55,MIN(Inputs!$E$62,AA48+AA49),0)</f>
        <v>2698.69993551094</v>
      </c>
      <c r="AB50" s="11" t="n">
        <f aca="false">IF(AB$2&gt;Inputs!$E$55,MIN(Inputs!$E$62,AB48+AB49),0)</f>
        <v>2698.69993551094</v>
      </c>
      <c r="AC50" s="11" t="n">
        <f aca="false">IF(AC$2&gt;Inputs!$E$55,MIN(Inputs!$E$62,AC48+AC49),0)</f>
        <v>2698.69993551094</v>
      </c>
      <c r="AD50" s="11" t="n">
        <f aca="false">IF(AD$2&gt;Inputs!$E$55,MIN(Inputs!$E$62,AD48+AD49),0)</f>
        <v>2698.69993551094</v>
      </c>
      <c r="AE50" s="11" t="n">
        <f aca="false">IF(AE$2&gt;Inputs!$E$55,MIN(Inputs!$E$62,AE48+AE49),0)</f>
        <v>2698.69993551094</v>
      </c>
      <c r="AF50" s="11" t="n">
        <f aca="false">IF(AF$2&gt;Inputs!$E$55,MIN(Inputs!$E$62,AF48+AF49),0)</f>
        <v>2698.69993551094</v>
      </c>
      <c r="AG50" s="11" t="n">
        <f aca="false">IF(AG$2&gt;Inputs!$E$55,MIN(Inputs!$E$62,AG48+AG49),0)</f>
        <v>2698.69993551094</v>
      </c>
      <c r="AH50" s="11" t="n">
        <f aca="false">IF(AH$2&gt;Inputs!$E$55,MIN(Inputs!$E$62,AH48+AH49),0)</f>
        <v>2698.69993551094</v>
      </c>
      <c r="AI50" s="11" t="n">
        <f aca="false">IF(AI$2&gt;Inputs!$E$55,MIN(Inputs!$E$62,AI48+AI49),0)</f>
        <v>2698.69993551094</v>
      </c>
      <c r="AJ50" s="11" t="n">
        <f aca="false">IF(AJ$2&gt;Inputs!$E$55,MIN(Inputs!$E$62,AJ48+AJ49),0)</f>
        <v>2698.69993551094</v>
      </c>
      <c r="AK50" s="11" t="n">
        <f aca="false">IF(AK$2&gt;Inputs!$E$55,MIN(Inputs!$E$62,AK48+AK49),0)</f>
        <v>2698.69993551094</v>
      </c>
      <c r="AL50" s="11" t="n">
        <f aca="false">IF(AL$2&gt;Inputs!$E$55,MIN(Inputs!$E$62,AL48+AL49),0)</f>
        <v>2698.69993551094</v>
      </c>
    </row>
    <row r="51" customFormat="false" ht="15" hidden="false" customHeight="false" outlineLevel="0" collapsed="false">
      <c r="A51" s="2" t="s">
        <v>233</v>
      </c>
      <c r="B51" s="4"/>
      <c r="C51" s="11" t="n">
        <f aca="false">C48+C46+C49-C50</f>
        <v>0</v>
      </c>
      <c r="D51" s="11" t="n">
        <f aca="false">D48+D46+D49-D50</f>
        <v>0</v>
      </c>
      <c r="E51" s="11" t="n">
        <f aca="false">E48+E46+E49-E50</f>
        <v>0</v>
      </c>
      <c r="F51" s="11" t="n">
        <f aca="false">F48+F46+F49-F50</f>
        <v>0</v>
      </c>
      <c r="G51" s="11" t="n">
        <f aca="false">G48+G46+G49-G50</f>
        <v>200000</v>
      </c>
      <c r="H51" s="11" t="n">
        <f aca="false">H48+H46+H49-H50</f>
        <v>199051.300064489</v>
      </c>
      <c r="I51" s="11" t="n">
        <f aca="false">I48+I46+I49-I50</f>
        <v>198094.299004542</v>
      </c>
      <c r="J51" s="11" t="n">
        <f aca="false">J48+J46+J49-J50</f>
        <v>197128.924185321</v>
      </c>
      <c r="K51" s="11" t="n">
        <f aca="false">K48+K46+K49-K50</f>
        <v>196155.102336432</v>
      </c>
      <c r="L51" s="11" t="n">
        <f aca="false">L48+L46+L49-L50</f>
        <v>195172.759546365</v>
      </c>
      <c r="M51" s="11" t="n">
        <f aca="false">M48+M46+M49-M50</f>
        <v>194181.821256885</v>
      </c>
      <c r="N51" s="11" t="n">
        <f aca="false">N48+N46+N49-N50</f>
        <v>193182.212257371</v>
      </c>
      <c r="O51" s="11" t="n">
        <f aca="false">O48+O46+O49-O50</f>
        <v>192173.856679112</v>
      </c>
      <c r="P51" s="11" t="n">
        <f aca="false">P48+P46+P49-P50</f>
        <v>191156.677989544</v>
      </c>
      <c r="Q51" s="11" t="n">
        <f aca="false">Q48+Q46+Q49-Q50</f>
        <v>190130.598986441</v>
      </c>
      <c r="R51" s="11" t="n">
        <f aca="false">R48+R46+R49-R50</f>
        <v>189095.541792062</v>
      </c>
      <c r="S51" s="11" t="n">
        <f aca="false">S48+S46+S49-S50</f>
        <v>188051.427847231</v>
      </c>
      <c r="T51" s="11" t="n">
        <f aca="false">T48+T46+T49-T50</f>
        <v>186998.177905384</v>
      </c>
      <c r="U51" s="11" t="n">
        <f aca="false">U48+U46+U49-U50</f>
        <v>185935.712026545</v>
      </c>
      <c r="V51" s="11" t="n">
        <f aca="false">V48+V46+V49-V50</f>
        <v>184863.949571266</v>
      </c>
      <c r="W51" s="11" t="n">
        <f aca="false">W48+W46+W49-W50</f>
        <v>183782.809194504</v>
      </c>
      <c r="X51" s="11" t="n">
        <f aca="false">X48+X46+X49-X50</f>
        <v>182692.208839445</v>
      </c>
      <c r="Y51" s="11" t="n">
        <f aca="false">Y48+Y46+Y49-Y50</f>
        <v>181592.065731279</v>
      </c>
      <c r="Z51" s="11" t="n">
        <f aca="false">Z48+Z46+Z49-Z50</f>
        <v>180482.296370917</v>
      </c>
      <c r="AA51" s="11" t="n">
        <f aca="false">AA48+AA46+AA49-AA50</f>
        <v>179362.816528651</v>
      </c>
      <c r="AB51" s="11" t="n">
        <f aca="false">AB48+AB46+AB49-AB50</f>
        <v>178233.541237766</v>
      </c>
      <c r="AC51" s="11" t="n">
        <f aca="false">AC48+AC46+AC49-AC50</f>
        <v>177094.384788086</v>
      </c>
      <c r="AD51" s="11" t="n">
        <f aca="false">AD48+AD46+AD49-AD50</f>
        <v>175945.260719471</v>
      </c>
      <c r="AE51" s="11" t="n">
        <f aca="false">AE48+AE46+AE49-AE50</f>
        <v>174786.081815255</v>
      </c>
      <c r="AF51" s="11" t="n">
        <f aca="false">AF48+AF46+AF49-AF50</f>
        <v>173616.760095627</v>
      </c>
      <c r="AG51" s="11" t="n">
        <f aca="false">AG48+AG46+AG49-AG50</f>
        <v>172437.206810953</v>
      </c>
      <c r="AH51" s="11" t="n">
        <f aca="false">AH48+AH46+AH49-AH50</f>
        <v>171247.332435038</v>
      </c>
      <c r="AI51" s="11" t="n">
        <f aca="false">AI48+AI46+AI49-AI50</f>
        <v>170047.046658334</v>
      </c>
      <c r="AJ51" s="11" t="n">
        <f aca="false">AJ48+AJ46+AJ49-AJ50</f>
        <v>168836.258381083</v>
      </c>
      <c r="AK51" s="11" t="n">
        <f aca="false">AK48+AK46+AK49-AK50</f>
        <v>167614.875706407</v>
      </c>
      <c r="AL51" s="11" t="n">
        <f aca="false">AL48+AL46+AL49-AL50</f>
        <v>166382.805933327</v>
      </c>
    </row>
    <row r="52" customFormat="false" ht="15" hidden="false" customHeight="false" outlineLevel="0" collapsed="false">
      <c r="A52" s="2" t="s">
        <v>234</v>
      </c>
      <c r="B52" s="4"/>
      <c r="C52" s="11" t="n">
        <f aca="false">C41-C44+C45+C46+C47-C50</f>
        <v>-47346.1666666667</v>
      </c>
      <c r="D52" s="11" t="n">
        <f aca="false">D41-D44+D45+D46+D47-D50</f>
        <v>-14646.1666666667</v>
      </c>
      <c r="E52" s="11" t="n">
        <f aca="false">E41-E44+E45+E46+E47-E50</f>
        <v>-6506.16666666667</v>
      </c>
      <c r="F52" s="11" t="n">
        <f aca="false">F41-F44+F45+F46+F47-F50</f>
        <v>-10386.1666666667</v>
      </c>
      <c r="G52" s="11" t="n">
        <f aca="false">G41-G44+G45+G46+G47-G50</f>
        <v>392813.833333333</v>
      </c>
      <c r="H52" s="11" t="n">
        <f aca="false">H41-H44+H45+H46+H47-H50</f>
        <v>-6084.86660217761</v>
      </c>
      <c r="I52" s="11" t="n">
        <f aca="false">I41-I44+I45+I46+I47-I50</f>
        <v>-11359.8666021776</v>
      </c>
      <c r="J52" s="11" t="n">
        <f aca="false">J41-J44+J45+J46+J47-J50</f>
        <v>1130.13339782239</v>
      </c>
      <c r="K52" s="11" t="n">
        <f aca="false">K41-K44+K45+K46+K47-K50</f>
        <v>-9209.86660217761</v>
      </c>
      <c r="L52" s="11" t="n">
        <f aca="false">L41-L44+L45+L46+L47-L50</f>
        <v>680.133397822394</v>
      </c>
      <c r="M52" s="11" t="n">
        <f aca="false">M41-M44+M45+M46+M47-M50</f>
        <v>-6634.86660217761</v>
      </c>
      <c r="N52" s="11" t="n">
        <f aca="false">N41-N44+N45+N46+N47-N50</f>
        <v>-1969.86660217761</v>
      </c>
      <c r="O52" s="11" t="n">
        <f aca="false">O41-O44+O45+O46+O47-O50</f>
        <v>-1904.03326884428</v>
      </c>
      <c r="P52" s="11" t="n">
        <f aca="false">P41-P44+P45+P46+P47-P50</f>
        <v>-1504.03326884428</v>
      </c>
      <c r="Q52" s="11" t="n">
        <f aca="false">Q41-Q44+Q45+Q46+Q47-Q50</f>
        <v>1582.21673115572</v>
      </c>
      <c r="R52" s="11" t="n">
        <f aca="false">R41-R44+R45+R46+R47-R50</f>
        <v>9044.71673115572</v>
      </c>
      <c r="S52" s="11" t="n">
        <f aca="false">S41-S44+S45+S46+S47-S50</f>
        <v>-6399.44993551094</v>
      </c>
      <c r="T52" s="11" t="n">
        <f aca="false">T41-T44+T45+T46+T47-T50</f>
        <v>3936.80006448906</v>
      </c>
      <c r="U52" s="11" t="n">
        <f aca="false">U41-U44+U45+U46+U47-U50</f>
        <v>9730.55006448906</v>
      </c>
      <c r="V52" s="11" t="n">
        <f aca="false">V41-V44+V45+V46+V47-V50</f>
        <v>6620.55006448906</v>
      </c>
      <c r="W52" s="11" t="n">
        <f aca="false">W41-W44+W45+W46+W47-W50</f>
        <v>4639.30006448906</v>
      </c>
      <c r="X52" s="11" t="n">
        <f aca="false">X41-X44+X45+X46+X47-X50</f>
        <v>4079.30006448906</v>
      </c>
      <c r="Y52" s="11" t="n">
        <f aca="false">Y41-Y44+Y45+Y46+Y47-Y50</f>
        <v>14788.0500644891</v>
      </c>
      <c r="Z52" s="11" t="n">
        <f aca="false">Z41-Z44+Z45+Z46+Z47-Z50</f>
        <v>1135.55006448906</v>
      </c>
      <c r="AA52" s="11" t="n">
        <f aca="false">AA41-AA44+AA45+AA46+AA47-AA50</f>
        <v>14686.2208978224</v>
      </c>
      <c r="AB52" s="11" t="n">
        <f aca="false">AB41-AB44+AB45+AB46+AB47-AB50</f>
        <v>6819.15839782239</v>
      </c>
      <c r="AC52" s="11" t="n">
        <f aca="false">AC41-AC44+AC45+AC46+AC47-AC50</f>
        <v>12259.1583978224</v>
      </c>
      <c r="AD52" s="11" t="n">
        <f aca="false">AD41-AD44+AD45+AD46+AD47-AD50</f>
        <v>30082.0958978224</v>
      </c>
      <c r="AE52" s="11" t="n">
        <f aca="false">AE41-AE44+AE45+AE46+AE47-AE50</f>
        <v>771.470897822383</v>
      </c>
      <c r="AF52" s="11" t="n">
        <f aca="false">AF41-AF44+AF45+AF46+AF47-AF50</f>
        <v>11130.0333978224</v>
      </c>
      <c r="AG52" s="11" t="n">
        <f aca="false">AG41-AG44+AG45+AG46+AG47-AG50</f>
        <v>9262.97089782238</v>
      </c>
      <c r="AH52" s="11" t="n">
        <f aca="false">AH41-AH44+AH45+AH46+AH47-AH50</f>
        <v>13927.9708978224</v>
      </c>
      <c r="AI52" s="11" t="n">
        <f aca="false">AI41-AI44+AI45+AI46+AI47-AI50</f>
        <v>29325.9083978224</v>
      </c>
      <c r="AJ52" s="11" t="n">
        <f aca="false">AJ41-AJ44+AJ45+AJ46+AJ47-AJ50</f>
        <v>18255.2833978224</v>
      </c>
      <c r="AK52" s="11" t="n">
        <f aca="false">AK41-AK44+AK45+AK46+AK47-AK50</f>
        <v>20653.2208978224</v>
      </c>
      <c r="AL52" s="11" t="n">
        <f aca="false">AL41-AL44+AL45+AL46+AL47-AL50</f>
        <v>17826.1583978224</v>
      </c>
    </row>
    <row r="53" customFormat="false" ht="15" hidden="false" customHeight="false" outlineLevel="0" collapsed="false">
      <c r="A53" s="3" t="s">
        <v>235</v>
      </c>
      <c r="B53" s="4"/>
      <c r="C53" s="11" t="n">
        <f aca="false">0+C52</f>
        <v>-47346.1666666667</v>
      </c>
      <c r="D53" s="11" t="n">
        <f aca="false">C53+D52</f>
        <v>-61992.3333333333</v>
      </c>
      <c r="E53" s="11" t="n">
        <f aca="false">D53+E52</f>
        <v>-68498.5</v>
      </c>
      <c r="F53" s="11" t="n">
        <f aca="false">E53+F52</f>
        <v>-78884.6666666667</v>
      </c>
      <c r="G53" s="11" t="n">
        <f aca="false">F53+G52</f>
        <v>313929.166666667</v>
      </c>
      <c r="H53" s="11" t="n">
        <f aca="false">G53+H52</f>
        <v>307844.300064489</v>
      </c>
      <c r="I53" s="11" t="n">
        <f aca="false">H53+I52</f>
        <v>296484.433462311</v>
      </c>
      <c r="J53" s="11" t="n">
        <f aca="false">I53+J52</f>
        <v>297614.566860134</v>
      </c>
      <c r="K53" s="11" t="n">
        <f aca="false">J53+K52</f>
        <v>288404.700257956</v>
      </c>
      <c r="L53" s="11" t="n">
        <f aca="false">K53+L52</f>
        <v>289084.833655779</v>
      </c>
      <c r="M53" s="11" t="n">
        <f aca="false">L53+M52</f>
        <v>282449.967053601</v>
      </c>
      <c r="N53" s="11" t="n">
        <f aca="false">M53+N52</f>
        <v>280480.100451423</v>
      </c>
      <c r="O53" s="11" t="n">
        <f aca="false">N53+O52</f>
        <v>278576.067182579</v>
      </c>
      <c r="P53" s="11" t="n">
        <f aca="false">O53+P52</f>
        <v>277072.033913735</v>
      </c>
      <c r="Q53" s="11" t="n">
        <f aca="false">P53+Q52</f>
        <v>278654.250644891</v>
      </c>
      <c r="R53" s="11" t="n">
        <f aca="false">Q53+R52</f>
        <v>287698.967376046</v>
      </c>
      <c r="S53" s="11" t="n">
        <f aca="false">R53+S52</f>
        <v>281299.517440535</v>
      </c>
      <c r="T53" s="11" t="n">
        <f aca="false">S53+T52</f>
        <v>285236.317505024</v>
      </c>
      <c r="U53" s="11" t="n">
        <f aca="false">T53+U52</f>
        <v>294966.867569513</v>
      </c>
      <c r="V53" s="11" t="n">
        <f aca="false">U53+V52</f>
        <v>301587.417634002</v>
      </c>
      <c r="W53" s="11" t="n">
        <f aca="false">V53+W52</f>
        <v>306226.717698492</v>
      </c>
      <c r="X53" s="11" t="n">
        <f aca="false">W53+X52</f>
        <v>310306.017762981</v>
      </c>
      <c r="Y53" s="11" t="n">
        <f aca="false">X53+Y52</f>
        <v>325094.06782747</v>
      </c>
      <c r="Z53" s="11" t="n">
        <f aca="false">Y53+Z52</f>
        <v>326229.617891959</v>
      </c>
      <c r="AA53" s="11" t="n">
        <f aca="false">Z53+AA52</f>
        <v>340915.838789781</v>
      </c>
      <c r="AB53" s="11" t="n">
        <f aca="false">AA53+AB52</f>
        <v>347734.997187604</v>
      </c>
      <c r="AC53" s="11" t="n">
        <f aca="false">AB53+AC52</f>
        <v>359994.155585426</v>
      </c>
      <c r="AD53" s="11" t="n">
        <f aca="false">AC53+AD52</f>
        <v>390076.251483248</v>
      </c>
      <c r="AE53" s="11" t="n">
        <f aca="false">AD53+AE52</f>
        <v>390847.722381071</v>
      </c>
      <c r="AF53" s="11" t="n">
        <f aca="false">AE53+AF52</f>
        <v>401977.755778893</v>
      </c>
      <c r="AG53" s="11" t="n">
        <f aca="false">AF53+AG52</f>
        <v>411240.726676716</v>
      </c>
      <c r="AH53" s="11" t="n">
        <f aca="false">AG53+AH52</f>
        <v>425168.697574538</v>
      </c>
      <c r="AI53" s="11" t="n">
        <f aca="false">AH53+AI52</f>
        <v>454494.60597236</v>
      </c>
      <c r="AJ53" s="11" t="n">
        <f aca="false">AI53+AJ52</f>
        <v>472749.889370183</v>
      </c>
      <c r="AK53" s="11" t="n">
        <f aca="false">AJ53+AK52</f>
        <v>493403.110268005</v>
      </c>
      <c r="AL53" s="11" t="n">
        <f aca="false">AK53+AL52</f>
        <v>511229.268665828</v>
      </c>
    </row>
    <row r="54" customFormat="false" ht="15" hidden="false" customHeight="false" outlineLevel="0" collapsed="false">
      <c r="A54" s="2" t="s">
        <v>236</v>
      </c>
      <c r="B54" s="4"/>
      <c r="C54" s="11" t="n">
        <f aca="false">0+C41-C44-C50</f>
        <v>-47346.1666666667</v>
      </c>
      <c r="D54" s="11" t="n">
        <f aca="false">C54+D41-D44-D50</f>
        <v>-61992.3333333333</v>
      </c>
      <c r="E54" s="11" t="n">
        <f aca="false">D54+E41-E44-E50</f>
        <v>-68498.5</v>
      </c>
      <c r="F54" s="11" t="n">
        <f aca="false">E54+F41-F44-F50</f>
        <v>-78884.6666666667</v>
      </c>
      <c r="G54" s="11" t="n">
        <f aca="false">F54+G41-G44-G50</f>
        <v>-86070.8333333334</v>
      </c>
      <c r="H54" s="11" t="n">
        <f aca="false">G54+H41-H44-H50</f>
        <v>-92155.699935511</v>
      </c>
      <c r="I54" s="11" t="n">
        <f aca="false">H54+I41-I44-I50</f>
        <v>-103515.566537689</v>
      </c>
      <c r="J54" s="11" t="n">
        <f aca="false">I54+J41-J44-J50</f>
        <v>-102385.433139866</v>
      </c>
      <c r="K54" s="11" t="n">
        <f aca="false">J54+K41-K44-K50</f>
        <v>-111595.299742044</v>
      </c>
      <c r="L54" s="11" t="n">
        <f aca="false">K54+L41-L44-L50</f>
        <v>-110915.166344221</v>
      </c>
      <c r="M54" s="11" t="n">
        <f aca="false">L54+M41-M44-M50</f>
        <v>-117550.032946399</v>
      </c>
      <c r="N54" s="11" t="n">
        <f aca="false">M54+N41-N44-N50</f>
        <v>-119519.899548577</v>
      </c>
      <c r="O54" s="11" t="n">
        <f aca="false">N54+O41-O44-O50</f>
        <v>-121423.932817421</v>
      </c>
      <c r="P54" s="11" t="n">
        <f aca="false">O54+P41-P44-P50</f>
        <v>-122927.966086265</v>
      </c>
      <c r="Q54" s="11" t="n">
        <f aca="false">P54+Q41-Q44-Q50</f>
        <v>-121345.749355109</v>
      </c>
      <c r="R54" s="11" t="n">
        <f aca="false">Q54+R41-R44-R50</f>
        <v>-112301.032623954</v>
      </c>
      <c r="S54" s="11" t="n">
        <f aca="false">R54+S41-S44-S50</f>
        <v>-118700.482559465</v>
      </c>
      <c r="T54" s="11" t="n">
        <f aca="false">S54+T41-T44-T50</f>
        <v>-114763.682494976</v>
      </c>
      <c r="U54" s="11" t="n">
        <f aca="false">T54+U41-U44-U50</f>
        <v>-105033.132430487</v>
      </c>
      <c r="V54" s="11" t="n">
        <f aca="false">U54+V41-V44-V50</f>
        <v>-98412.5823659975</v>
      </c>
      <c r="W54" s="11" t="n">
        <f aca="false">V54+W41-W44-W50</f>
        <v>-93773.2823015085</v>
      </c>
      <c r="X54" s="11" t="n">
        <f aca="false">W54+X41-X44-X50</f>
        <v>-89693.9822370194</v>
      </c>
      <c r="Y54" s="11" t="n">
        <f aca="false">X54+Y41-Y44-Y50</f>
        <v>-74905.9321725304</v>
      </c>
      <c r="Z54" s="11" t="n">
        <f aca="false">Y54+Z41-Z44-Z50</f>
        <v>-73770.3821080413</v>
      </c>
      <c r="AA54" s="11" t="n">
        <f aca="false">Z54+AA41-AA44-AA50</f>
        <v>-59084.1612102189</v>
      </c>
      <c r="AB54" s="11" t="n">
        <f aca="false">AA54+AB41-AB44-AB50</f>
        <v>-52265.0028123965</v>
      </c>
      <c r="AC54" s="11" t="n">
        <f aca="false">AB54+AC41-AC44-AC50</f>
        <v>-40005.8444145741</v>
      </c>
      <c r="AD54" s="11" t="n">
        <f aca="false">AC54+AD41-AD44-AD50</f>
        <v>-9923.74851675175</v>
      </c>
      <c r="AE54" s="11" t="n">
        <f aca="false">AD54+AE41-AE44-AE50</f>
        <v>-9152.27761892937</v>
      </c>
      <c r="AF54" s="11" t="n">
        <f aca="false">AE54+AF41-AF44-AF50</f>
        <v>1977.75577889302</v>
      </c>
      <c r="AG54" s="11" t="n">
        <f aca="false">AF54+AG41-AG44-AG50</f>
        <v>11240.7266767154</v>
      </c>
      <c r="AH54" s="11" t="n">
        <f aca="false">AG54+AH41-AH44-AH50</f>
        <v>25168.6975745378</v>
      </c>
      <c r="AI54" s="11" t="n">
        <f aca="false">AH54+AI41-AI44-AI50</f>
        <v>54494.6059723602</v>
      </c>
      <c r="AJ54" s="11" t="n">
        <f aca="false">AI54+AJ41-AJ44-AJ50</f>
        <v>72749.8893701825</v>
      </c>
      <c r="AK54" s="11" t="n">
        <f aca="false">AJ54+AK41-AK44-AK50</f>
        <v>93403.1102680049</v>
      </c>
      <c r="AL54" s="11" t="n">
        <f aca="false">AK54+AL41-AL44-AL50</f>
        <v>111229.268665827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38" min="3" style="0" width="11"/>
  </cols>
  <sheetData>
    <row r="1" customFormat="false" ht="17.35" hidden="false" customHeight="false" outlineLevel="0" collapsed="false">
      <c r="A1" s="1" t="s">
        <v>239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customFormat="false" ht="15" hidden="false" customHeight="false" outlineLevel="0" collapsed="false">
      <c r="A2" s="3" t="s">
        <v>190</v>
      </c>
      <c r="B2" s="4"/>
      <c r="C2" s="22" t="n">
        <v>1</v>
      </c>
      <c r="D2" s="22" t="n">
        <v>2</v>
      </c>
      <c r="E2" s="22" t="n">
        <v>3</v>
      </c>
      <c r="F2" s="22" t="n">
        <v>4</v>
      </c>
      <c r="G2" s="22" t="n">
        <v>5</v>
      </c>
      <c r="H2" s="22" t="n">
        <v>6</v>
      </c>
      <c r="I2" s="22" t="n">
        <v>7</v>
      </c>
      <c r="J2" s="22" t="n">
        <v>8</v>
      </c>
      <c r="K2" s="22" t="n">
        <v>9</v>
      </c>
      <c r="L2" s="22" t="n">
        <v>10</v>
      </c>
      <c r="M2" s="22" t="n">
        <v>11</v>
      </c>
      <c r="N2" s="22" t="n">
        <v>12</v>
      </c>
      <c r="O2" s="22" t="n">
        <v>13</v>
      </c>
      <c r="P2" s="22" t="n">
        <v>14</v>
      </c>
      <c r="Q2" s="22" t="n">
        <v>15</v>
      </c>
      <c r="R2" s="22" t="n">
        <v>16</v>
      </c>
      <c r="S2" s="22" t="n">
        <v>17</v>
      </c>
      <c r="T2" s="22" t="n">
        <v>18</v>
      </c>
      <c r="U2" s="22" t="n">
        <v>19</v>
      </c>
      <c r="V2" s="22" t="n">
        <v>20</v>
      </c>
      <c r="W2" s="22" t="n">
        <v>21</v>
      </c>
      <c r="X2" s="22" t="n">
        <v>22</v>
      </c>
      <c r="Y2" s="22" t="n">
        <v>23</v>
      </c>
      <c r="Z2" s="22" t="n">
        <v>24</v>
      </c>
      <c r="AA2" s="22" t="n">
        <v>25</v>
      </c>
      <c r="AB2" s="22" t="n">
        <v>26</v>
      </c>
      <c r="AC2" s="22" t="n">
        <v>27</v>
      </c>
      <c r="AD2" s="22" t="n">
        <v>28</v>
      </c>
      <c r="AE2" s="22" t="n">
        <v>29</v>
      </c>
      <c r="AF2" s="22" t="n">
        <v>30</v>
      </c>
      <c r="AG2" s="22" t="n">
        <v>31</v>
      </c>
      <c r="AH2" s="22" t="n">
        <v>32</v>
      </c>
      <c r="AI2" s="22" t="n">
        <v>33</v>
      </c>
      <c r="AJ2" s="22" t="n">
        <v>34</v>
      </c>
      <c r="AK2" s="22" t="n">
        <v>35</v>
      </c>
      <c r="AL2" s="22" t="n">
        <v>36</v>
      </c>
    </row>
    <row r="3" customFormat="false" ht="15" hidden="false" customHeight="false" outlineLevel="0" collapsed="false">
      <c r="A3" s="3" t="s">
        <v>191</v>
      </c>
      <c r="B3" s="4"/>
      <c r="C3" s="2" t="n">
        <f aca="false">ROUNDUP(C2/12,0)</f>
        <v>1</v>
      </c>
      <c r="D3" s="2" t="n">
        <f aca="false">ROUNDUP(D2/12,0)</f>
        <v>1</v>
      </c>
      <c r="E3" s="2" t="n">
        <f aca="false">ROUNDUP(E2/12,0)</f>
        <v>1</v>
      </c>
      <c r="F3" s="2" t="n">
        <f aca="false">ROUNDUP(F2/12,0)</f>
        <v>1</v>
      </c>
      <c r="G3" s="2" t="n">
        <f aca="false">ROUNDUP(G2/12,0)</f>
        <v>1</v>
      </c>
      <c r="H3" s="2" t="n">
        <f aca="false">ROUNDUP(H2/12,0)</f>
        <v>1</v>
      </c>
      <c r="I3" s="2" t="n">
        <f aca="false">ROUNDUP(I2/12,0)</f>
        <v>1</v>
      </c>
      <c r="J3" s="2" t="n">
        <f aca="false">ROUNDUP(J2/12,0)</f>
        <v>1</v>
      </c>
      <c r="K3" s="2" t="n">
        <f aca="false">ROUNDUP(K2/12,0)</f>
        <v>1</v>
      </c>
      <c r="L3" s="2" t="n">
        <f aca="false">ROUNDUP(L2/12,0)</f>
        <v>1</v>
      </c>
      <c r="M3" s="2" t="n">
        <f aca="false">ROUNDUP(M2/12,0)</f>
        <v>1</v>
      </c>
      <c r="N3" s="2" t="n">
        <f aca="false">ROUNDUP(N2/12,0)</f>
        <v>1</v>
      </c>
      <c r="O3" s="2" t="n">
        <f aca="false">ROUNDUP(O2/12,0)</f>
        <v>2</v>
      </c>
      <c r="P3" s="2" t="n">
        <f aca="false">ROUNDUP(P2/12,0)</f>
        <v>2</v>
      </c>
      <c r="Q3" s="2" t="n">
        <f aca="false">ROUNDUP(Q2/12,0)</f>
        <v>2</v>
      </c>
      <c r="R3" s="2" t="n">
        <f aca="false">ROUNDUP(R2/12,0)</f>
        <v>2</v>
      </c>
      <c r="S3" s="2" t="n">
        <f aca="false">ROUNDUP(S2/12,0)</f>
        <v>2</v>
      </c>
      <c r="T3" s="2" t="n">
        <f aca="false">ROUNDUP(T2/12,0)</f>
        <v>2</v>
      </c>
      <c r="U3" s="2" t="n">
        <f aca="false">ROUNDUP(U2/12,0)</f>
        <v>2</v>
      </c>
      <c r="V3" s="2" t="n">
        <f aca="false">ROUNDUP(V2/12,0)</f>
        <v>2</v>
      </c>
      <c r="W3" s="2" t="n">
        <f aca="false">ROUNDUP(W2/12,0)</f>
        <v>2</v>
      </c>
      <c r="X3" s="2" t="n">
        <f aca="false">ROUNDUP(X2/12,0)</f>
        <v>2</v>
      </c>
      <c r="Y3" s="2" t="n">
        <f aca="false">ROUNDUP(Y2/12,0)</f>
        <v>2</v>
      </c>
      <c r="Z3" s="2" t="n">
        <f aca="false">ROUNDUP(Z2/12,0)</f>
        <v>2</v>
      </c>
      <c r="AA3" s="2" t="n">
        <f aca="false">ROUNDUP(AA2/12,0)</f>
        <v>3</v>
      </c>
      <c r="AB3" s="2" t="n">
        <f aca="false">ROUNDUP(AB2/12,0)</f>
        <v>3</v>
      </c>
      <c r="AC3" s="2" t="n">
        <f aca="false">ROUNDUP(AC2/12,0)</f>
        <v>3</v>
      </c>
      <c r="AD3" s="2" t="n">
        <f aca="false">ROUNDUP(AD2/12,0)</f>
        <v>3</v>
      </c>
      <c r="AE3" s="2" t="n">
        <f aca="false">ROUNDUP(AE2/12,0)</f>
        <v>3</v>
      </c>
      <c r="AF3" s="2" t="n">
        <f aca="false">ROUNDUP(AF2/12,0)</f>
        <v>3</v>
      </c>
      <c r="AG3" s="2" t="n">
        <f aca="false">ROUNDUP(AG2/12,0)</f>
        <v>3</v>
      </c>
      <c r="AH3" s="2" t="n">
        <f aca="false">ROUNDUP(AH2/12,0)</f>
        <v>3</v>
      </c>
      <c r="AI3" s="2" t="n">
        <f aca="false">ROUNDUP(AI2/12,0)</f>
        <v>3</v>
      </c>
      <c r="AJ3" s="2" t="n">
        <f aca="false">ROUNDUP(AJ2/12,0)</f>
        <v>3</v>
      </c>
      <c r="AK3" s="2" t="n">
        <f aca="false">ROUNDUP(AK2/12,0)</f>
        <v>3</v>
      </c>
      <c r="AL3" s="2" t="n">
        <f aca="false">ROUNDUP(AL2/12,0)</f>
        <v>3</v>
      </c>
    </row>
    <row r="4" customFormat="false" ht="15" hidden="false" customHeight="false" outlineLevel="0" collapsed="false">
      <c r="A4" s="3" t="s">
        <v>192</v>
      </c>
      <c r="B4" s="4"/>
      <c r="C4" s="23" t="n">
        <f aca="false">DATE(2026,10,19)+ROUND((C2-1)*30.44,0)</f>
        <v>46314</v>
      </c>
      <c r="D4" s="23" t="n">
        <f aca="false">DATE(2026,10,19)+ROUND((D2-1)*30.44,0)</f>
        <v>46344</v>
      </c>
      <c r="E4" s="23" t="n">
        <f aca="false">DATE(2026,10,19)+ROUND((E2-1)*30.44,0)</f>
        <v>46375</v>
      </c>
      <c r="F4" s="23" t="n">
        <f aca="false">DATE(2026,10,19)+ROUND((F2-1)*30.44,0)</f>
        <v>46405</v>
      </c>
      <c r="G4" s="23" t="n">
        <f aca="false">DATE(2026,10,19)+ROUND((G2-1)*30.44,0)</f>
        <v>46436</v>
      </c>
      <c r="H4" s="23" t="n">
        <f aca="false">DATE(2026,10,19)+ROUND((H2-1)*30.44,0)</f>
        <v>46466</v>
      </c>
      <c r="I4" s="23" t="n">
        <f aca="false">DATE(2026,10,19)+ROUND((I2-1)*30.44,0)</f>
        <v>46497</v>
      </c>
      <c r="J4" s="23" t="n">
        <f aca="false">DATE(2026,10,19)+ROUND((J2-1)*30.44,0)</f>
        <v>46527</v>
      </c>
      <c r="K4" s="23" t="n">
        <f aca="false">DATE(2026,10,19)+ROUND((K2-1)*30.44,0)</f>
        <v>46558</v>
      </c>
      <c r="L4" s="23" t="n">
        <f aca="false">DATE(2026,10,19)+ROUND((L2-1)*30.44,0)</f>
        <v>46588</v>
      </c>
      <c r="M4" s="23" t="n">
        <f aca="false">DATE(2026,10,19)+ROUND((M2-1)*30.44,0)</f>
        <v>46618</v>
      </c>
      <c r="N4" s="23" t="n">
        <f aca="false">DATE(2026,10,19)+ROUND((N2-1)*30.44,0)</f>
        <v>46649</v>
      </c>
      <c r="O4" s="23" t="n">
        <f aca="false">DATE(2026,10,19)+ROUND((O2-1)*30.44,0)</f>
        <v>46679</v>
      </c>
      <c r="P4" s="23" t="n">
        <f aca="false">DATE(2026,10,19)+ROUND((P2-1)*30.44,0)</f>
        <v>46710</v>
      </c>
      <c r="Q4" s="23" t="n">
        <f aca="false">DATE(2026,10,19)+ROUND((Q2-1)*30.44,0)</f>
        <v>46740</v>
      </c>
      <c r="R4" s="23" t="n">
        <f aca="false">DATE(2026,10,19)+ROUND((R2-1)*30.44,0)</f>
        <v>46771</v>
      </c>
      <c r="S4" s="23" t="n">
        <f aca="false">DATE(2026,10,19)+ROUND((S2-1)*30.44,0)</f>
        <v>46801</v>
      </c>
      <c r="T4" s="23" t="n">
        <f aca="false">DATE(2026,10,19)+ROUND((T2-1)*30.44,0)</f>
        <v>46831</v>
      </c>
      <c r="U4" s="23" t="n">
        <f aca="false">DATE(2026,10,19)+ROUND((U2-1)*30.44,0)</f>
        <v>46862</v>
      </c>
      <c r="V4" s="23" t="n">
        <f aca="false">DATE(2026,10,19)+ROUND((V2-1)*30.44,0)</f>
        <v>46892</v>
      </c>
      <c r="W4" s="23" t="n">
        <f aca="false">DATE(2026,10,19)+ROUND((W2-1)*30.44,0)</f>
        <v>46923</v>
      </c>
      <c r="X4" s="23" t="n">
        <f aca="false">DATE(2026,10,19)+ROUND((X2-1)*30.44,0)</f>
        <v>46953</v>
      </c>
      <c r="Y4" s="23" t="n">
        <f aca="false">DATE(2026,10,19)+ROUND((Y2-1)*30.44,0)</f>
        <v>46984</v>
      </c>
      <c r="Z4" s="23" t="n">
        <f aca="false">DATE(2026,10,19)+ROUND((Z2-1)*30.44,0)</f>
        <v>47014</v>
      </c>
      <c r="AA4" s="23" t="n">
        <f aca="false">DATE(2026,10,19)+ROUND((AA2-1)*30.44,0)</f>
        <v>47045</v>
      </c>
      <c r="AB4" s="23" t="n">
        <f aca="false">DATE(2026,10,19)+ROUND((AB2-1)*30.44,0)</f>
        <v>47075</v>
      </c>
      <c r="AC4" s="23" t="n">
        <f aca="false">DATE(2026,10,19)+ROUND((AC2-1)*30.44,0)</f>
        <v>47105</v>
      </c>
      <c r="AD4" s="23" t="n">
        <f aca="false">DATE(2026,10,19)+ROUND((AD2-1)*30.44,0)</f>
        <v>47136</v>
      </c>
      <c r="AE4" s="23" t="n">
        <f aca="false">DATE(2026,10,19)+ROUND((AE2-1)*30.44,0)</f>
        <v>47166</v>
      </c>
      <c r="AF4" s="23" t="n">
        <f aca="false">DATE(2026,10,19)+ROUND((AF2-1)*30.44,0)</f>
        <v>47197</v>
      </c>
      <c r="AG4" s="23" t="n">
        <f aca="false">DATE(2026,10,19)+ROUND((AG2-1)*30.44,0)</f>
        <v>47227</v>
      </c>
      <c r="AH4" s="23" t="n">
        <f aca="false">DATE(2026,10,19)+ROUND((AH2-1)*30.44,0)</f>
        <v>47258</v>
      </c>
      <c r="AI4" s="23" t="n">
        <f aca="false">DATE(2026,10,19)+ROUND((AI2-1)*30.44,0)</f>
        <v>47288</v>
      </c>
      <c r="AJ4" s="23" t="n">
        <f aca="false">DATE(2026,10,19)+ROUND((AJ2-1)*30.44,0)</f>
        <v>47319</v>
      </c>
      <c r="AK4" s="23" t="n">
        <f aca="false">DATE(2026,10,19)+ROUND((AK2-1)*30.44,0)</f>
        <v>47349</v>
      </c>
      <c r="AL4" s="23" t="n">
        <f aca="false">DATE(2026,10,19)+ROUND((AL2-1)*30.44,0)</f>
        <v>47379</v>
      </c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customFormat="false" ht="15" hidden="false" customHeight="false" outlineLevel="0" collapsed="false">
      <c r="A6" s="14" t="s">
        <v>193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</row>
    <row r="7" customFormat="false" ht="15" hidden="false" customHeight="false" outlineLevel="0" collapsed="false">
      <c r="A7" s="2" t="s">
        <v>194</v>
      </c>
      <c r="B7" s="4"/>
      <c r="C7" s="21" t="n">
        <f aca="false">IF(C$2=Inputs!$F$6,1,0)</f>
        <v>1</v>
      </c>
      <c r="D7" s="21" t="n">
        <f aca="false">IF(D$2=Inputs!$F$6,1,0)</f>
        <v>0</v>
      </c>
      <c r="E7" s="21" t="n">
        <f aca="false">IF(E$2=Inputs!$F$6,1,0)</f>
        <v>0</v>
      </c>
      <c r="F7" s="21" t="n">
        <f aca="false">IF(F$2=Inputs!$F$6,1,0)</f>
        <v>0</v>
      </c>
      <c r="G7" s="21" t="n">
        <f aca="false">IF(G$2=Inputs!$F$6,1,0)</f>
        <v>0</v>
      </c>
      <c r="H7" s="21" t="n">
        <f aca="false">IF(H$2=Inputs!$F$6,1,0)</f>
        <v>0</v>
      </c>
      <c r="I7" s="21" t="n">
        <f aca="false">IF(I$2=Inputs!$F$6,1,0)</f>
        <v>0</v>
      </c>
      <c r="J7" s="21" t="n">
        <f aca="false">IF(J$2=Inputs!$F$6,1,0)</f>
        <v>0</v>
      </c>
      <c r="K7" s="21" t="n">
        <f aca="false">IF(K$2=Inputs!$F$6,1,0)</f>
        <v>0</v>
      </c>
      <c r="L7" s="21" t="n">
        <f aca="false">IF(L$2=Inputs!$F$6,1,0)</f>
        <v>0</v>
      </c>
      <c r="M7" s="21" t="n">
        <f aca="false">IF(M$2=Inputs!$F$6,1,0)</f>
        <v>0</v>
      </c>
      <c r="N7" s="21" t="n">
        <f aca="false">IF(N$2=Inputs!$F$6,1,0)</f>
        <v>0</v>
      </c>
      <c r="O7" s="21" t="n">
        <f aca="false">IF(O$2=Inputs!$F$6,1,0)</f>
        <v>0</v>
      </c>
      <c r="P7" s="21" t="n">
        <f aca="false">IF(P$2=Inputs!$F$6,1,0)</f>
        <v>0</v>
      </c>
      <c r="Q7" s="21" t="n">
        <f aca="false">IF(Q$2=Inputs!$F$6,1,0)</f>
        <v>0</v>
      </c>
      <c r="R7" s="21" t="n">
        <f aca="false">IF(R$2=Inputs!$F$6,1,0)</f>
        <v>0</v>
      </c>
      <c r="S7" s="21" t="n">
        <f aca="false">IF(S$2=Inputs!$F$6,1,0)</f>
        <v>0</v>
      </c>
      <c r="T7" s="21" t="n">
        <f aca="false">IF(T$2=Inputs!$F$6,1,0)</f>
        <v>0</v>
      </c>
      <c r="U7" s="21" t="n">
        <f aca="false">IF(U$2=Inputs!$F$6,1,0)</f>
        <v>0</v>
      </c>
      <c r="V7" s="21" t="n">
        <f aca="false">IF(V$2=Inputs!$F$6,1,0)</f>
        <v>0</v>
      </c>
      <c r="W7" s="21" t="n">
        <f aca="false">IF(W$2=Inputs!$F$6,1,0)</f>
        <v>0</v>
      </c>
      <c r="X7" s="21" t="n">
        <f aca="false">IF(X$2=Inputs!$F$6,1,0)</f>
        <v>0</v>
      </c>
      <c r="Y7" s="21" t="n">
        <f aca="false">IF(Y$2=Inputs!$F$6,1,0)</f>
        <v>0</v>
      </c>
      <c r="Z7" s="21" t="n">
        <f aca="false">IF(Z$2=Inputs!$F$6,1,0)</f>
        <v>0</v>
      </c>
      <c r="AA7" s="21" t="n">
        <f aca="false">IF(AA$2=Inputs!$F$6,1,0)</f>
        <v>0</v>
      </c>
      <c r="AB7" s="21" t="n">
        <f aca="false">IF(AB$2=Inputs!$F$6,1,0)</f>
        <v>0</v>
      </c>
      <c r="AC7" s="21" t="n">
        <f aca="false">IF(AC$2=Inputs!$F$6,1,0)</f>
        <v>0</v>
      </c>
      <c r="AD7" s="21" t="n">
        <f aca="false">IF(AD$2=Inputs!$F$6,1,0)</f>
        <v>0</v>
      </c>
      <c r="AE7" s="21" t="n">
        <f aca="false">IF(AE$2=Inputs!$F$6,1,0)</f>
        <v>0</v>
      </c>
      <c r="AF7" s="21" t="n">
        <f aca="false">IF(AF$2=Inputs!$F$6,1,0)</f>
        <v>0</v>
      </c>
      <c r="AG7" s="21" t="n">
        <f aca="false">IF(AG$2=Inputs!$F$6,1,0)</f>
        <v>0</v>
      </c>
      <c r="AH7" s="21" t="n">
        <f aca="false">IF(AH$2=Inputs!$F$6,1,0)</f>
        <v>0</v>
      </c>
      <c r="AI7" s="21" t="n">
        <f aca="false">IF(AI$2=Inputs!$F$6,1,0)</f>
        <v>0</v>
      </c>
      <c r="AJ7" s="21" t="n">
        <f aca="false">IF(AJ$2=Inputs!$F$6,1,0)</f>
        <v>0</v>
      </c>
      <c r="AK7" s="21" t="n">
        <f aca="false">IF(AK$2=Inputs!$F$6,1,0)</f>
        <v>0</v>
      </c>
      <c r="AL7" s="21" t="n">
        <f aca="false">IF(AL$2=Inputs!$F$6,1,0)</f>
        <v>0</v>
      </c>
    </row>
    <row r="8" customFormat="false" ht="15" hidden="false" customHeight="false" outlineLevel="0" collapsed="false">
      <c r="A8" s="2" t="s">
        <v>183</v>
      </c>
      <c r="B8" s="4"/>
      <c r="C8" s="9" t="n">
        <f aca="false">Schedules!C21</f>
        <v>0</v>
      </c>
      <c r="D8" s="9" t="n">
        <f aca="false">Schedules!D21</f>
        <v>0</v>
      </c>
      <c r="E8" s="9" t="n">
        <f aca="false">Schedules!E21</f>
        <v>0</v>
      </c>
      <c r="F8" s="9" t="n">
        <f aca="false">Schedules!F21</f>
        <v>0</v>
      </c>
      <c r="G8" s="9" t="n">
        <f aca="false">Schedules!G21</f>
        <v>1</v>
      </c>
      <c r="H8" s="9" t="n">
        <f aca="false">Schedules!H21</f>
        <v>0</v>
      </c>
      <c r="I8" s="9" t="n">
        <f aca="false">Schedules!I21</f>
        <v>0</v>
      </c>
      <c r="J8" s="9" t="n">
        <f aca="false">Schedules!J21</f>
        <v>1</v>
      </c>
      <c r="K8" s="9" t="n">
        <f aca="false">Schedules!K21</f>
        <v>1</v>
      </c>
      <c r="L8" s="9" t="n">
        <f aca="false">Schedules!L21</f>
        <v>1</v>
      </c>
      <c r="M8" s="9" t="n">
        <f aca="false">Schedules!M21</f>
        <v>0</v>
      </c>
      <c r="N8" s="9" t="n">
        <f aca="false">Schedules!N21</f>
        <v>0</v>
      </c>
      <c r="O8" s="9" t="n">
        <f aca="false">Schedules!O21</f>
        <v>1</v>
      </c>
      <c r="P8" s="9" t="n">
        <f aca="false">Schedules!P21</f>
        <v>1</v>
      </c>
      <c r="Q8" s="9" t="n">
        <f aca="false">Schedules!Q21</f>
        <v>1</v>
      </c>
      <c r="R8" s="9" t="n">
        <f aca="false">Schedules!R21</f>
        <v>0</v>
      </c>
      <c r="S8" s="9" t="n">
        <f aca="false">Schedules!S21</f>
        <v>1</v>
      </c>
      <c r="T8" s="9" t="n">
        <f aca="false">Schedules!T21</f>
        <v>0</v>
      </c>
      <c r="U8" s="9" t="n">
        <f aca="false">Schedules!U21</f>
        <v>1</v>
      </c>
      <c r="V8" s="9" t="n">
        <f aca="false">Schedules!V21</f>
        <v>1</v>
      </c>
      <c r="W8" s="9" t="n">
        <f aca="false">Schedules!W21</f>
        <v>1</v>
      </c>
      <c r="X8" s="9" t="n">
        <f aca="false">Schedules!X21</f>
        <v>1</v>
      </c>
      <c r="Y8" s="9" t="n">
        <f aca="false">Schedules!Y21</f>
        <v>1</v>
      </c>
      <c r="Z8" s="9" t="n">
        <f aca="false">Schedules!Z21</f>
        <v>0</v>
      </c>
      <c r="AA8" s="9" t="n">
        <f aca="false">Schedules!AA21</f>
        <v>1</v>
      </c>
      <c r="AB8" s="9" t="n">
        <f aca="false">Schedules!AB21</f>
        <v>1</v>
      </c>
      <c r="AC8" s="9" t="n">
        <f aca="false">Schedules!AC21</f>
        <v>1</v>
      </c>
      <c r="AD8" s="9" t="n">
        <f aca="false">Schedules!AD21</f>
        <v>1</v>
      </c>
      <c r="AE8" s="9" t="n">
        <f aca="false">Schedules!AE21</f>
        <v>1</v>
      </c>
      <c r="AF8" s="9" t="n">
        <f aca="false">Schedules!AF21</f>
        <v>0</v>
      </c>
      <c r="AG8" s="9" t="n">
        <f aca="false">Schedules!AG21</f>
        <v>1</v>
      </c>
      <c r="AH8" s="9" t="n">
        <f aca="false">Schedules!AH21</f>
        <v>1</v>
      </c>
      <c r="AI8" s="9" t="n">
        <f aca="false">Schedules!AI21</f>
        <v>1</v>
      </c>
      <c r="AJ8" s="9" t="n">
        <f aca="false">Schedules!AJ21</f>
        <v>1</v>
      </c>
      <c r="AK8" s="9" t="n">
        <f aca="false">Schedules!AK21</f>
        <v>1</v>
      </c>
      <c r="AL8" s="9" t="n">
        <f aca="false">Schedules!AL21</f>
        <v>1</v>
      </c>
    </row>
    <row r="9" customFormat="false" ht="15" hidden="false" customHeight="false" outlineLevel="0" collapsed="false">
      <c r="A9" s="2" t="s">
        <v>195</v>
      </c>
      <c r="B9" s="4"/>
      <c r="C9" s="21" t="n">
        <f aca="false">IF(C$2-Inputs!$F$12&gt;=1,INDEX($C$8:$AL$8,C$2-Inputs!$F$12),0)</f>
        <v>0</v>
      </c>
      <c r="D9" s="21" t="n">
        <f aca="false">IF(D$2-Inputs!$F$12&gt;=1,INDEX($C$8:$AL$8,D$2-Inputs!$F$12),0)</f>
        <v>0</v>
      </c>
      <c r="E9" s="21" t="n">
        <f aca="false">IF(E$2-Inputs!$F$12&gt;=1,INDEX($C$8:$AL$8,E$2-Inputs!$F$12),0)</f>
        <v>0</v>
      </c>
      <c r="F9" s="21" t="n">
        <f aca="false">IF(F$2-Inputs!$F$12&gt;=1,INDEX($C$8:$AL$8,F$2-Inputs!$F$12),0)</f>
        <v>0</v>
      </c>
      <c r="G9" s="21" t="n">
        <f aca="false">IF(G$2-Inputs!$F$12&gt;=1,INDEX($C$8:$AL$8,G$2-Inputs!$F$12),0)</f>
        <v>0</v>
      </c>
      <c r="H9" s="21" t="n">
        <f aca="false">IF(H$2-Inputs!$F$12&gt;=1,INDEX($C$8:$AL$8,H$2-Inputs!$F$12),0)</f>
        <v>0</v>
      </c>
      <c r="I9" s="21" t="n">
        <f aca="false">IF(I$2-Inputs!$F$12&gt;=1,INDEX($C$8:$AL$8,I$2-Inputs!$F$12),0)</f>
        <v>1</v>
      </c>
      <c r="J9" s="21" t="n">
        <f aca="false">IF(J$2-Inputs!$F$12&gt;=1,INDEX($C$8:$AL$8,J$2-Inputs!$F$12),0)</f>
        <v>0</v>
      </c>
      <c r="K9" s="21" t="n">
        <f aca="false">IF(K$2-Inputs!$F$12&gt;=1,INDEX($C$8:$AL$8,K$2-Inputs!$F$12),0)</f>
        <v>0</v>
      </c>
      <c r="L9" s="21" t="n">
        <f aca="false">IF(L$2-Inputs!$F$12&gt;=1,INDEX($C$8:$AL$8,L$2-Inputs!$F$12),0)</f>
        <v>1</v>
      </c>
      <c r="M9" s="21" t="n">
        <f aca="false">IF(M$2-Inputs!$F$12&gt;=1,INDEX($C$8:$AL$8,M$2-Inputs!$F$12),0)</f>
        <v>1</v>
      </c>
      <c r="N9" s="21" t="n">
        <f aca="false">IF(N$2-Inputs!$F$12&gt;=1,INDEX($C$8:$AL$8,N$2-Inputs!$F$12),0)</f>
        <v>1</v>
      </c>
      <c r="O9" s="21" t="n">
        <f aca="false">IF(O$2-Inputs!$F$12&gt;=1,INDEX($C$8:$AL$8,O$2-Inputs!$F$12),0)</f>
        <v>0</v>
      </c>
      <c r="P9" s="21" t="n">
        <f aca="false">IF(P$2-Inputs!$F$12&gt;=1,INDEX($C$8:$AL$8,P$2-Inputs!$F$12),0)</f>
        <v>0</v>
      </c>
      <c r="Q9" s="21" t="n">
        <f aca="false">IF(Q$2-Inputs!$F$12&gt;=1,INDEX($C$8:$AL$8,Q$2-Inputs!$F$12),0)</f>
        <v>1</v>
      </c>
      <c r="R9" s="21" t="n">
        <f aca="false">IF(R$2-Inputs!$F$12&gt;=1,INDEX($C$8:$AL$8,R$2-Inputs!$F$12),0)</f>
        <v>1</v>
      </c>
      <c r="S9" s="21" t="n">
        <f aca="false">IF(S$2-Inputs!$F$12&gt;=1,INDEX($C$8:$AL$8,S$2-Inputs!$F$12),0)</f>
        <v>1</v>
      </c>
      <c r="T9" s="21" t="n">
        <f aca="false">IF(T$2-Inputs!$F$12&gt;=1,INDEX($C$8:$AL$8,T$2-Inputs!$F$12),0)</f>
        <v>0</v>
      </c>
      <c r="U9" s="21" t="n">
        <f aca="false">IF(U$2-Inputs!$F$12&gt;=1,INDEX($C$8:$AL$8,U$2-Inputs!$F$12),0)</f>
        <v>1</v>
      </c>
      <c r="V9" s="21" t="n">
        <f aca="false">IF(V$2-Inputs!$F$12&gt;=1,INDEX($C$8:$AL$8,V$2-Inputs!$F$12),0)</f>
        <v>0</v>
      </c>
      <c r="W9" s="21" t="n">
        <f aca="false">IF(W$2-Inputs!$F$12&gt;=1,INDEX($C$8:$AL$8,W$2-Inputs!$F$12),0)</f>
        <v>1</v>
      </c>
      <c r="X9" s="21" t="n">
        <f aca="false">IF(X$2-Inputs!$F$12&gt;=1,INDEX($C$8:$AL$8,X$2-Inputs!$F$12),0)</f>
        <v>1</v>
      </c>
      <c r="Y9" s="21" t="n">
        <f aca="false">IF(Y$2-Inputs!$F$12&gt;=1,INDEX($C$8:$AL$8,Y$2-Inputs!$F$12),0)</f>
        <v>1</v>
      </c>
      <c r="Z9" s="21" t="n">
        <f aca="false">IF(Z$2-Inputs!$F$12&gt;=1,INDEX($C$8:$AL$8,Z$2-Inputs!$F$12),0)</f>
        <v>1</v>
      </c>
      <c r="AA9" s="21" t="n">
        <f aca="false">IF(AA$2-Inputs!$F$12&gt;=1,INDEX($C$8:$AL$8,AA$2-Inputs!$F$12),0)</f>
        <v>1</v>
      </c>
      <c r="AB9" s="21" t="n">
        <f aca="false">IF(AB$2-Inputs!$F$12&gt;=1,INDEX($C$8:$AL$8,AB$2-Inputs!$F$12),0)</f>
        <v>0</v>
      </c>
      <c r="AC9" s="21" t="n">
        <f aca="false">IF(AC$2-Inputs!$F$12&gt;=1,INDEX($C$8:$AL$8,AC$2-Inputs!$F$12),0)</f>
        <v>1</v>
      </c>
      <c r="AD9" s="21" t="n">
        <f aca="false">IF(AD$2-Inputs!$F$12&gt;=1,INDEX($C$8:$AL$8,AD$2-Inputs!$F$12),0)</f>
        <v>1</v>
      </c>
      <c r="AE9" s="21" t="n">
        <f aca="false">IF(AE$2-Inputs!$F$12&gt;=1,INDEX($C$8:$AL$8,AE$2-Inputs!$F$12),0)</f>
        <v>1</v>
      </c>
      <c r="AF9" s="21" t="n">
        <f aca="false">IF(AF$2-Inputs!$F$12&gt;=1,INDEX($C$8:$AL$8,AF$2-Inputs!$F$12),0)</f>
        <v>1</v>
      </c>
      <c r="AG9" s="21" t="n">
        <f aca="false">IF(AG$2-Inputs!$F$12&gt;=1,INDEX($C$8:$AL$8,AG$2-Inputs!$F$12),0)</f>
        <v>1</v>
      </c>
      <c r="AH9" s="21" t="n">
        <f aca="false">IF(AH$2-Inputs!$F$12&gt;=1,INDEX($C$8:$AL$8,AH$2-Inputs!$F$12),0)</f>
        <v>0</v>
      </c>
      <c r="AI9" s="21" t="n">
        <f aca="false">IF(AI$2-Inputs!$F$12&gt;=1,INDEX($C$8:$AL$8,AI$2-Inputs!$F$12),0)</f>
        <v>1</v>
      </c>
      <c r="AJ9" s="21" t="n">
        <f aca="false">IF(AJ$2-Inputs!$F$12&gt;=1,INDEX($C$8:$AL$8,AJ$2-Inputs!$F$12),0)</f>
        <v>1</v>
      </c>
      <c r="AK9" s="21" t="n">
        <f aca="false">IF(AK$2-Inputs!$F$12&gt;=1,INDEX($C$8:$AL$8,AK$2-Inputs!$F$12),0)</f>
        <v>1</v>
      </c>
      <c r="AL9" s="21" t="n">
        <f aca="false">IF(AL$2-Inputs!$F$12&gt;=1,INDEX($C$8:$AL$8,AL$2-Inputs!$F$12),0)</f>
        <v>1</v>
      </c>
    </row>
    <row r="10" customFormat="false" ht="15" hidden="false" customHeight="false" outlineLevel="0" collapsed="false">
      <c r="A10" s="2" t="s">
        <v>196</v>
      </c>
      <c r="B10" s="4"/>
      <c r="C10" s="21" t="n">
        <f aca="false">IF(C$2=Inputs!$F$6+Inputs!$F$12,1,0)</f>
        <v>0</v>
      </c>
      <c r="D10" s="21" t="n">
        <f aca="false">IF(D$2=Inputs!$F$6+Inputs!$F$12,1,0)</f>
        <v>0</v>
      </c>
      <c r="E10" s="21" t="n">
        <f aca="false">IF(E$2=Inputs!$F$6+Inputs!$F$12,1,0)</f>
        <v>1</v>
      </c>
      <c r="F10" s="21" t="n">
        <f aca="false">IF(F$2=Inputs!$F$6+Inputs!$F$12,1,0)</f>
        <v>0</v>
      </c>
      <c r="G10" s="21" t="n">
        <f aca="false">IF(G$2=Inputs!$F$6+Inputs!$F$12,1,0)</f>
        <v>0</v>
      </c>
      <c r="H10" s="21" t="n">
        <f aca="false">IF(H$2=Inputs!$F$6+Inputs!$F$12,1,0)</f>
        <v>0</v>
      </c>
      <c r="I10" s="21" t="n">
        <f aca="false">IF(I$2=Inputs!$F$6+Inputs!$F$12,1,0)</f>
        <v>0</v>
      </c>
      <c r="J10" s="21" t="n">
        <f aca="false">IF(J$2=Inputs!$F$6+Inputs!$F$12,1,0)</f>
        <v>0</v>
      </c>
      <c r="K10" s="21" t="n">
        <f aca="false">IF(K$2=Inputs!$F$6+Inputs!$F$12,1,0)</f>
        <v>0</v>
      </c>
      <c r="L10" s="21" t="n">
        <f aca="false">IF(L$2=Inputs!$F$6+Inputs!$F$12,1,0)</f>
        <v>0</v>
      </c>
      <c r="M10" s="21" t="n">
        <f aca="false">IF(M$2=Inputs!$F$6+Inputs!$F$12,1,0)</f>
        <v>0</v>
      </c>
      <c r="N10" s="21" t="n">
        <f aca="false">IF(N$2=Inputs!$F$6+Inputs!$F$12,1,0)</f>
        <v>0</v>
      </c>
      <c r="O10" s="21" t="n">
        <f aca="false">IF(O$2=Inputs!$F$6+Inputs!$F$12,1,0)</f>
        <v>0</v>
      </c>
      <c r="P10" s="21" t="n">
        <f aca="false">IF(P$2=Inputs!$F$6+Inputs!$F$12,1,0)</f>
        <v>0</v>
      </c>
      <c r="Q10" s="21" t="n">
        <f aca="false">IF(Q$2=Inputs!$F$6+Inputs!$F$12,1,0)</f>
        <v>0</v>
      </c>
      <c r="R10" s="21" t="n">
        <f aca="false">IF(R$2=Inputs!$F$6+Inputs!$F$12,1,0)</f>
        <v>0</v>
      </c>
      <c r="S10" s="21" t="n">
        <f aca="false">IF(S$2=Inputs!$F$6+Inputs!$F$12,1,0)</f>
        <v>0</v>
      </c>
      <c r="T10" s="21" t="n">
        <f aca="false">IF(T$2=Inputs!$F$6+Inputs!$F$12,1,0)</f>
        <v>0</v>
      </c>
      <c r="U10" s="21" t="n">
        <f aca="false">IF(U$2=Inputs!$F$6+Inputs!$F$12,1,0)</f>
        <v>0</v>
      </c>
      <c r="V10" s="21" t="n">
        <f aca="false">IF(V$2=Inputs!$F$6+Inputs!$F$12,1,0)</f>
        <v>0</v>
      </c>
      <c r="W10" s="21" t="n">
        <f aca="false">IF(W$2=Inputs!$F$6+Inputs!$F$12,1,0)</f>
        <v>0</v>
      </c>
      <c r="X10" s="21" t="n">
        <f aca="false">IF(X$2=Inputs!$F$6+Inputs!$F$12,1,0)</f>
        <v>0</v>
      </c>
      <c r="Y10" s="21" t="n">
        <f aca="false">IF(Y$2=Inputs!$F$6+Inputs!$F$12,1,0)</f>
        <v>0</v>
      </c>
      <c r="Z10" s="21" t="n">
        <f aca="false">IF(Z$2=Inputs!$F$6+Inputs!$F$12,1,0)</f>
        <v>0</v>
      </c>
      <c r="AA10" s="21" t="n">
        <f aca="false">IF(AA$2=Inputs!$F$6+Inputs!$F$12,1,0)</f>
        <v>0</v>
      </c>
      <c r="AB10" s="21" t="n">
        <f aca="false">IF(AB$2=Inputs!$F$6+Inputs!$F$12,1,0)</f>
        <v>0</v>
      </c>
      <c r="AC10" s="21" t="n">
        <f aca="false">IF(AC$2=Inputs!$F$6+Inputs!$F$12,1,0)</f>
        <v>0</v>
      </c>
      <c r="AD10" s="21" t="n">
        <f aca="false">IF(AD$2=Inputs!$F$6+Inputs!$F$12,1,0)</f>
        <v>0</v>
      </c>
      <c r="AE10" s="21" t="n">
        <f aca="false">IF(AE$2=Inputs!$F$6+Inputs!$F$12,1,0)</f>
        <v>0</v>
      </c>
      <c r="AF10" s="21" t="n">
        <f aca="false">IF(AF$2=Inputs!$F$6+Inputs!$F$12,1,0)</f>
        <v>0</v>
      </c>
      <c r="AG10" s="21" t="n">
        <f aca="false">IF(AG$2=Inputs!$F$6+Inputs!$F$12,1,0)</f>
        <v>0</v>
      </c>
      <c r="AH10" s="21" t="n">
        <f aca="false">IF(AH$2=Inputs!$F$6+Inputs!$F$12,1,0)</f>
        <v>0</v>
      </c>
      <c r="AI10" s="21" t="n">
        <f aca="false">IF(AI$2=Inputs!$F$6+Inputs!$F$12,1,0)</f>
        <v>0</v>
      </c>
      <c r="AJ10" s="21" t="n">
        <f aca="false">IF(AJ$2=Inputs!$F$6+Inputs!$F$12,1,0)</f>
        <v>0</v>
      </c>
      <c r="AK10" s="21" t="n">
        <f aca="false">IF(AK$2=Inputs!$F$6+Inputs!$F$12,1,0)</f>
        <v>0</v>
      </c>
      <c r="AL10" s="21" t="n">
        <f aca="false">IF(AL$2=Inputs!$F$6+Inputs!$F$12,1,0)</f>
        <v>0</v>
      </c>
    </row>
    <row r="11" customFormat="false" ht="15" hidden="false" customHeight="false" outlineLevel="0" collapsed="false">
      <c r="A11" s="2" t="s">
        <v>197</v>
      </c>
      <c r="B11" s="4"/>
      <c r="C11" s="21" t="n">
        <f aca="false">0+C9+C10</f>
        <v>0</v>
      </c>
      <c r="D11" s="21" t="n">
        <f aca="false">C11+D9+D10</f>
        <v>0</v>
      </c>
      <c r="E11" s="21" t="n">
        <f aca="false">D11+E9+E10</f>
        <v>1</v>
      </c>
      <c r="F11" s="21" t="n">
        <f aca="false">E11+F9+F10</f>
        <v>1</v>
      </c>
      <c r="G11" s="21" t="n">
        <f aca="false">F11+G9+G10</f>
        <v>1</v>
      </c>
      <c r="H11" s="21" t="n">
        <f aca="false">G11+H9+H10</f>
        <v>1</v>
      </c>
      <c r="I11" s="21" t="n">
        <f aca="false">H11+I9+I10</f>
        <v>2</v>
      </c>
      <c r="J11" s="21" t="n">
        <f aca="false">I11+J9+J10</f>
        <v>2</v>
      </c>
      <c r="K11" s="21" t="n">
        <f aca="false">J11+K9+K10</f>
        <v>2</v>
      </c>
      <c r="L11" s="21" t="n">
        <f aca="false">K11+L9+L10</f>
        <v>3</v>
      </c>
      <c r="M11" s="21" t="n">
        <f aca="false">L11+M9+M10</f>
        <v>4</v>
      </c>
      <c r="N11" s="21" t="n">
        <f aca="false">M11+N9+N10</f>
        <v>5</v>
      </c>
      <c r="O11" s="21" t="n">
        <f aca="false">N11+O9+O10</f>
        <v>5</v>
      </c>
      <c r="P11" s="21" t="n">
        <f aca="false">O11+P9+P10</f>
        <v>5</v>
      </c>
      <c r="Q11" s="21" t="n">
        <f aca="false">P11+Q9+Q10</f>
        <v>6</v>
      </c>
      <c r="R11" s="21" t="n">
        <f aca="false">Q11+R9+R10</f>
        <v>7</v>
      </c>
      <c r="S11" s="21" t="n">
        <f aca="false">R11+S9+S10</f>
        <v>8</v>
      </c>
      <c r="T11" s="21" t="n">
        <f aca="false">S11+T9+T10</f>
        <v>8</v>
      </c>
      <c r="U11" s="21" t="n">
        <f aca="false">T11+U9+U10</f>
        <v>9</v>
      </c>
      <c r="V11" s="21" t="n">
        <f aca="false">U11+V9+V10</f>
        <v>9</v>
      </c>
      <c r="W11" s="21" t="n">
        <f aca="false">V11+W9+W10</f>
        <v>10</v>
      </c>
      <c r="X11" s="21" t="n">
        <f aca="false">W11+X9+X10</f>
        <v>11</v>
      </c>
      <c r="Y11" s="21" t="n">
        <f aca="false">X11+Y9+Y10</f>
        <v>12</v>
      </c>
      <c r="Z11" s="21" t="n">
        <f aca="false">Y11+Z9+Z10</f>
        <v>13</v>
      </c>
      <c r="AA11" s="21" t="n">
        <f aca="false">Z11+AA9+AA10</f>
        <v>14</v>
      </c>
      <c r="AB11" s="21" t="n">
        <f aca="false">AA11+AB9+AB10</f>
        <v>14</v>
      </c>
      <c r="AC11" s="21" t="n">
        <f aca="false">AB11+AC9+AC10</f>
        <v>15</v>
      </c>
      <c r="AD11" s="21" t="n">
        <f aca="false">AC11+AD9+AD10</f>
        <v>16</v>
      </c>
      <c r="AE11" s="21" t="n">
        <f aca="false">AD11+AE9+AE10</f>
        <v>17</v>
      </c>
      <c r="AF11" s="21" t="n">
        <f aca="false">AE11+AF9+AF10</f>
        <v>18</v>
      </c>
      <c r="AG11" s="21" t="n">
        <f aca="false">AF11+AG9+AG10</f>
        <v>19</v>
      </c>
      <c r="AH11" s="21" t="n">
        <f aca="false">AG11+AH9+AH10</f>
        <v>19</v>
      </c>
      <c r="AI11" s="21" t="n">
        <f aca="false">AH11+AI9+AI10</f>
        <v>20</v>
      </c>
      <c r="AJ11" s="21" t="n">
        <f aca="false">AI11+AJ9+AJ10</f>
        <v>21</v>
      </c>
      <c r="AK11" s="21" t="n">
        <f aca="false">AJ11+AK9+AK10</f>
        <v>22</v>
      </c>
      <c r="AL11" s="21" t="n">
        <f aca="false">AK11+AL9+AL10</f>
        <v>23</v>
      </c>
    </row>
    <row r="12" customFormat="false" ht="15" hidden="false" customHeight="false" outlineLevel="0" collapsed="false">
      <c r="A12" s="2" t="s">
        <v>198</v>
      </c>
      <c r="B12" s="4"/>
      <c r="C12" s="24" t="n">
        <f aca="false">0+0</f>
        <v>0</v>
      </c>
      <c r="D12" s="24" t="n">
        <f aca="false">C12+C9</f>
        <v>0</v>
      </c>
      <c r="E12" s="24" t="n">
        <f aca="false">D12+D9</f>
        <v>0</v>
      </c>
      <c r="F12" s="24" t="n">
        <f aca="false">E12+E9</f>
        <v>0</v>
      </c>
      <c r="G12" s="24" t="n">
        <f aca="false">F12+F9</f>
        <v>0</v>
      </c>
      <c r="H12" s="24" t="n">
        <f aca="false">G12+G9</f>
        <v>0</v>
      </c>
      <c r="I12" s="24" t="n">
        <f aca="false">H12+H9</f>
        <v>0</v>
      </c>
      <c r="J12" s="24" t="n">
        <f aca="false">I12+I9</f>
        <v>1</v>
      </c>
      <c r="K12" s="24" t="n">
        <f aca="false">J12+J9</f>
        <v>1</v>
      </c>
      <c r="L12" s="24" t="n">
        <f aca="false">K12+K9</f>
        <v>1</v>
      </c>
      <c r="M12" s="24" t="n">
        <f aca="false">L12+L9</f>
        <v>2</v>
      </c>
      <c r="N12" s="24" t="n">
        <f aca="false">M12+M9</f>
        <v>3</v>
      </c>
      <c r="O12" s="24" t="n">
        <f aca="false">N12+N9</f>
        <v>4</v>
      </c>
      <c r="P12" s="24" t="n">
        <f aca="false">O12+O9</f>
        <v>4</v>
      </c>
      <c r="Q12" s="24" t="n">
        <f aca="false">P12+P9</f>
        <v>4</v>
      </c>
      <c r="R12" s="24" t="n">
        <f aca="false">Q12+Q9</f>
        <v>5</v>
      </c>
      <c r="S12" s="24" t="n">
        <f aca="false">R12+R9</f>
        <v>6</v>
      </c>
      <c r="T12" s="24" t="n">
        <f aca="false">S12+S9</f>
        <v>7</v>
      </c>
      <c r="U12" s="24" t="n">
        <f aca="false">T12+T9</f>
        <v>7</v>
      </c>
      <c r="V12" s="24" t="n">
        <f aca="false">U12+U9</f>
        <v>8</v>
      </c>
      <c r="W12" s="24" t="n">
        <f aca="false">V12+V9</f>
        <v>8</v>
      </c>
      <c r="X12" s="24" t="n">
        <f aca="false">W12+W9</f>
        <v>9</v>
      </c>
      <c r="Y12" s="24" t="n">
        <f aca="false">X12+X9</f>
        <v>10</v>
      </c>
      <c r="Z12" s="24" t="n">
        <f aca="false">Y12+Y9</f>
        <v>11</v>
      </c>
      <c r="AA12" s="24" t="n">
        <f aca="false">Z12+Z9</f>
        <v>12</v>
      </c>
      <c r="AB12" s="24" t="n">
        <f aca="false">AA12+AA9</f>
        <v>13</v>
      </c>
      <c r="AC12" s="24" t="n">
        <f aca="false">AB12+AB9</f>
        <v>13</v>
      </c>
      <c r="AD12" s="24" t="n">
        <f aca="false">AC12+AC9</f>
        <v>14</v>
      </c>
      <c r="AE12" s="24" t="n">
        <f aca="false">AD12+AD9</f>
        <v>15</v>
      </c>
      <c r="AF12" s="24" t="n">
        <f aca="false">AE12+AE9</f>
        <v>16</v>
      </c>
      <c r="AG12" s="24" t="n">
        <f aca="false">AF12+AF9</f>
        <v>17</v>
      </c>
      <c r="AH12" s="24" t="n">
        <f aca="false">AG12+AG9</f>
        <v>18</v>
      </c>
      <c r="AI12" s="24" t="n">
        <f aca="false">AH12+AH9</f>
        <v>18</v>
      </c>
      <c r="AJ12" s="24" t="n">
        <f aca="false">AI12+AI9</f>
        <v>19</v>
      </c>
      <c r="AK12" s="24" t="n">
        <f aca="false">AJ12+AJ9</f>
        <v>20</v>
      </c>
      <c r="AL12" s="24" t="n">
        <f aca="false">AK12+AK9</f>
        <v>21</v>
      </c>
    </row>
    <row r="13" customFormat="false" ht="15" hidden="false" customHeight="false" outlineLevel="0" collapsed="false">
      <c r="A13" s="2" t="s">
        <v>199</v>
      </c>
      <c r="B13" s="4"/>
      <c r="C13" s="21" t="n">
        <f aca="false">IF(C$2&gt;Inputs!$F$6+Inputs!$F$12,1,0)</f>
        <v>0</v>
      </c>
      <c r="D13" s="21" t="n">
        <f aca="false">IF(D$2&gt;Inputs!$F$6+Inputs!$F$12,1,0)</f>
        <v>0</v>
      </c>
      <c r="E13" s="21" t="n">
        <f aca="false">IF(E$2&gt;Inputs!$F$6+Inputs!$F$12,1,0)</f>
        <v>0</v>
      </c>
      <c r="F13" s="21" t="n">
        <f aca="false">IF(F$2&gt;Inputs!$F$6+Inputs!$F$12,1,0)</f>
        <v>1</v>
      </c>
      <c r="G13" s="21" t="n">
        <f aca="false">IF(G$2&gt;Inputs!$F$6+Inputs!$F$12,1,0)</f>
        <v>1</v>
      </c>
      <c r="H13" s="21" t="n">
        <f aca="false">IF(H$2&gt;Inputs!$F$6+Inputs!$F$12,1,0)</f>
        <v>1</v>
      </c>
      <c r="I13" s="21" t="n">
        <f aca="false">IF(I$2&gt;Inputs!$F$6+Inputs!$F$12,1,0)</f>
        <v>1</v>
      </c>
      <c r="J13" s="21" t="n">
        <f aca="false">IF(J$2&gt;Inputs!$F$6+Inputs!$F$12,1,0)</f>
        <v>1</v>
      </c>
      <c r="K13" s="21" t="n">
        <f aca="false">IF(K$2&gt;Inputs!$F$6+Inputs!$F$12,1,0)</f>
        <v>1</v>
      </c>
      <c r="L13" s="21" t="n">
        <f aca="false">IF(L$2&gt;Inputs!$F$6+Inputs!$F$12,1,0)</f>
        <v>1</v>
      </c>
      <c r="M13" s="21" t="n">
        <f aca="false">IF(M$2&gt;Inputs!$F$6+Inputs!$F$12,1,0)</f>
        <v>1</v>
      </c>
      <c r="N13" s="21" t="n">
        <f aca="false">IF(N$2&gt;Inputs!$F$6+Inputs!$F$12,1,0)</f>
        <v>1</v>
      </c>
      <c r="O13" s="21" t="n">
        <f aca="false">IF(O$2&gt;Inputs!$F$6+Inputs!$F$12,1,0)</f>
        <v>1</v>
      </c>
      <c r="P13" s="21" t="n">
        <f aca="false">IF(P$2&gt;Inputs!$F$6+Inputs!$F$12,1,0)</f>
        <v>1</v>
      </c>
      <c r="Q13" s="21" t="n">
        <f aca="false">IF(Q$2&gt;Inputs!$F$6+Inputs!$F$12,1,0)</f>
        <v>1</v>
      </c>
      <c r="R13" s="21" t="n">
        <f aca="false">IF(R$2&gt;Inputs!$F$6+Inputs!$F$12,1,0)</f>
        <v>1</v>
      </c>
      <c r="S13" s="21" t="n">
        <f aca="false">IF(S$2&gt;Inputs!$F$6+Inputs!$F$12,1,0)</f>
        <v>1</v>
      </c>
      <c r="T13" s="21" t="n">
        <f aca="false">IF(T$2&gt;Inputs!$F$6+Inputs!$F$12,1,0)</f>
        <v>1</v>
      </c>
      <c r="U13" s="21" t="n">
        <f aca="false">IF(U$2&gt;Inputs!$F$6+Inputs!$F$12,1,0)</f>
        <v>1</v>
      </c>
      <c r="V13" s="21" t="n">
        <f aca="false">IF(V$2&gt;Inputs!$F$6+Inputs!$F$12,1,0)</f>
        <v>1</v>
      </c>
      <c r="W13" s="21" t="n">
        <f aca="false">IF(W$2&gt;Inputs!$F$6+Inputs!$F$12,1,0)</f>
        <v>1</v>
      </c>
      <c r="X13" s="21" t="n">
        <f aca="false">IF(X$2&gt;Inputs!$F$6+Inputs!$F$12,1,0)</f>
        <v>1</v>
      </c>
      <c r="Y13" s="21" t="n">
        <f aca="false">IF(Y$2&gt;Inputs!$F$6+Inputs!$F$12,1,0)</f>
        <v>1</v>
      </c>
      <c r="Z13" s="21" t="n">
        <f aca="false">IF(Z$2&gt;Inputs!$F$6+Inputs!$F$12,1,0)</f>
        <v>1</v>
      </c>
      <c r="AA13" s="21" t="n">
        <f aca="false">IF(AA$2&gt;Inputs!$F$6+Inputs!$F$12,1,0)</f>
        <v>1</v>
      </c>
      <c r="AB13" s="21" t="n">
        <f aca="false">IF(AB$2&gt;Inputs!$F$6+Inputs!$F$12,1,0)</f>
        <v>1</v>
      </c>
      <c r="AC13" s="21" t="n">
        <f aca="false">IF(AC$2&gt;Inputs!$F$6+Inputs!$F$12,1,0)</f>
        <v>1</v>
      </c>
      <c r="AD13" s="21" t="n">
        <f aca="false">IF(AD$2&gt;Inputs!$F$6+Inputs!$F$12,1,0)</f>
        <v>1</v>
      </c>
      <c r="AE13" s="21" t="n">
        <f aca="false">IF(AE$2&gt;Inputs!$F$6+Inputs!$F$12,1,0)</f>
        <v>1</v>
      </c>
      <c r="AF13" s="21" t="n">
        <f aca="false">IF(AF$2&gt;Inputs!$F$6+Inputs!$F$12,1,0)</f>
        <v>1</v>
      </c>
      <c r="AG13" s="21" t="n">
        <f aca="false">IF(AG$2&gt;Inputs!$F$6+Inputs!$F$12,1,0)</f>
        <v>1</v>
      </c>
      <c r="AH13" s="21" t="n">
        <f aca="false">IF(AH$2&gt;Inputs!$F$6+Inputs!$F$12,1,0)</f>
        <v>1</v>
      </c>
      <c r="AI13" s="21" t="n">
        <f aca="false">IF(AI$2&gt;Inputs!$F$6+Inputs!$F$12,1,0)</f>
        <v>1</v>
      </c>
      <c r="AJ13" s="21" t="n">
        <f aca="false">IF(AJ$2&gt;Inputs!$F$6+Inputs!$F$12,1,0)</f>
        <v>1</v>
      </c>
      <c r="AK13" s="21" t="n">
        <f aca="false">IF(AK$2&gt;Inputs!$F$6+Inputs!$F$12,1,0)</f>
        <v>1</v>
      </c>
      <c r="AL13" s="21" t="n">
        <f aca="false">IF(AL$2&gt;Inputs!$F$6+Inputs!$F$12,1,0)</f>
        <v>1</v>
      </c>
    </row>
    <row r="14" customFormat="false" ht="15" hidden="false" customHeight="false" outlineLevel="0" collapsed="false">
      <c r="A14" s="2" t="s">
        <v>200</v>
      </c>
      <c r="B14" s="4"/>
      <c r="C14" s="21" t="n">
        <f aca="false">IF(C$2-Inputs!$F$16&gt;=1,INDEX($C$11:$AL$11,C$2-Inputs!$F$16),0)</f>
        <v>0</v>
      </c>
      <c r="D14" s="21" t="n">
        <f aca="false">IF(D$2-Inputs!$F$16&gt;=1,INDEX($C$11:$AL$11,D$2-Inputs!$F$16),0)</f>
        <v>0</v>
      </c>
      <c r="E14" s="21" t="n">
        <f aca="false">IF(E$2-Inputs!$F$16&gt;=1,INDEX($C$11:$AL$11,E$2-Inputs!$F$16),0)</f>
        <v>0</v>
      </c>
      <c r="F14" s="21" t="n">
        <f aca="false">IF(F$2-Inputs!$F$16&gt;=1,INDEX($C$11:$AL$11,F$2-Inputs!$F$16),0)</f>
        <v>0</v>
      </c>
      <c r="G14" s="21" t="n">
        <f aca="false">IF(G$2-Inputs!$F$16&gt;=1,INDEX($C$11:$AL$11,G$2-Inputs!$F$16),0)</f>
        <v>0</v>
      </c>
      <c r="H14" s="21" t="n">
        <f aca="false">IF(H$2-Inputs!$F$16&gt;=1,INDEX($C$11:$AL$11,H$2-Inputs!$F$16),0)</f>
        <v>1</v>
      </c>
      <c r="I14" s="21" t="n">
        <f aca="false">IF(I$2-Inputs!$F$16&gt;=1,INDEX($C$11:$AL$11,I$2-Inputs!$F$16),0)</f>
        <v>1</v>
      </c>
      <c r="J14" s="21" t="n">
        <f aca="false">IF(J$2-Inputs!$F$16&gt;=1,INDEX($C$11:$AL$11,J$2-Inputs!$F$16),0)</f>
        <v>1</v>
      </c>
      <c r="K14" s="21" t="n">
        <f aca="false">IF(K$2-Inputs!$F$16&gt;=1,INDEX($C$11:$AL$11,K$2-Inputs!$F$16),0)</f>
        <v>1</v>
      </c>
      <c r="L14" s="21" t="n">
        <f aca="false">IF(L$2-Inputs!$F$16&gt;=1,INDEX($C$11:$AL$11,L$2-Inputs!$F$16),0)</f>
        <v>2</v>
      </c>
      <c r="M14" s="21" t="n">
        <f aca="false">IF(M$2-Inputs!$F$16&gt;=1,INDEX($C$11:$AL$11,M$2-Inputs!$F$16),0)</f>
        <v>2</v>
      </c>
      <c r="N14" s="21" t="n">
        <f aca="false">IF(N$2-Inputs!$F$16&gt;=1,INDEX($C$11:$AL$11,N$2-Inputs!$F$16),0)</f>
        <v>2</v>
      </c>
      <c r="O14" s="21" t="n">
        <f aca="false">IF(O$2-Inputs!$F$16&gt;=1,INDEX($C$11:$AL$11,O$2-Inputs!$F$16),0)</f>
        <v>3</v>
      </c>
      <c r="P14" s="21" t="n">
        <f aca="false">IF(P$2-Inputs!$F$16&gt;=1,INDEX($C$11:$AL$11,P$2-Inputs!$F$16),0)</f>
        <v>4</v>
      </c>
      <c r="Q14" s="21" t="n">
        <f aca="false">IF(Q$2-Inputs!$F$16&gt;=1,INDEX($C$11:$AL$11,Q$2-Inputs!$F$16),0)</f>
        <v>5</v>
      </c>
      <c r="R14" s="21" t="n">
        <f aca="false">IF(R$2-Inputs!$F$16&gt;=1,INDEX($C$11:$AL$11,R$2-Inputs!$F$16),0)</f>
        <v>5</v>
      </c>
      <c r="S14" s="21" t="n">
        <f aca="false">IF(S$2-Inputs!$F$16&gt;=1,INDEX($C$11:$AL$11,S$2-Inputs!$F$16),0)</f>
        <v>5</v>
      </c>
      <c r="T14" s="21" t="n">
        <f aca="false">IF(T$2-Inputs!$F$16&gt;=1,INDEX($C$11:$AL$11,T$2-Inputs!$F$16),0)</f>
        <v>6</v>
      </c>
      <c r="U14" s="21" t="n">
        <f aca="false">IF(U$2-Inputs!$F$16&gt;=1,INDEX($C$11:$AL$11,U$2-Inputs!$F$16),0)</f>
        <v>7</v>
      </c>
      <c r="V14" s="21" t="n">
        <f aca="false">IF(V$2-Inputs!$F$16&gt;=1,INDEX($C$11:$AL$11,V$2-Inputs!$F$16),0)</f>
        <v>8</v>
      </c>
      <c r="W14" s="21" t="n">
        <f aca="false">IF(W$2-Inputs!$F$16&gt;=1,INDEX($C$11:$AL$11,W$2-Inputs!$F$16),0)</f>
        <v>8</v>
      </c>
      <c r="X14" s="21" t="n">
        <f aca="false">IF(X$2-Inputs!$F$16&gt;=1,INDEX($C$11:$AL$11,X$2-Inputs!$F$16),0)</f>
        <v>9</v>
      </c>
      <c r="Y14" s="21" t="n">
        <f aca="false">IF(Y$2-Inputs!$F$16&gt;=1,INDEX($C$11:$AL$11,Y$2-Inputs!$F$16),0)</f>
        <v>9</v>
      </c>
      <c r="Z14" s="21" t="n">
        <f aca="false">IF(Z$2-Inputs!$F$16&gt;=1,INDEX($C$11:$AL$11,Z$2-Inputs!$F$16),0)</f>
        <v>10</v>
      </c>
      <c r="AA14" s="21" t="n">
        <f aca="false">IF(AA$2-Inputs!$F$16&gt;=1,INDEX($C$11:$AL$11,AA$2-Inputs!$F$16),0)</f>
        <v>11</v>
      </c>
      <c r="AB14" s="21" t="n">
        <f aca="false">IF(AB$2-Inputs!$F$16&gt;=1,INDEX($C$11:$AL$11,AB$2-Inputs!$F$16),0)</f>
        <v>12</v>
      </c>
      <c r="AC14" s="21" t="n">
        <f aca="false">IF(AC$2-Inputs!$F$16&gt;=1,INDEX($C$11:$AL$11,AC$2-Inputs!$F$16),0)</f>
        <v>13</v>
      </c>
      <c r="AD14" s="21" t="n">
        <f aca="false">IF(AD$2-Inputs!$F$16&gt;=1,INDEX($C$11:$AL$11,AD$2-Inputs!$F$16),0)</f>
        <v>14</v>
      </c>
      <c r="AE14" s="21" t="n">
        <f aca="false">IF(AE$2-Inputs!$F$16&gt;=1,INDEX($C$11:$AL$11,AE$2-Inputs!$F$16),0)</f>
        <v>14</v>
      </c>
      <c r="AF14" s="21" t="n">
        <f aca="false">IF(AF$2-Inputs!$F$16&gt;=1,INDEX($C$11:$AL$11,AF$2-Inputs!$F$16),0)</f>
        <v>15</v>
      </c>
      <c r="AG14" s="21" t="n">
        <f aca="false">IF(AG$2-Inputs!$F$16&gt;=1,INDEX($C$11:$AL$11,AG$2-Inputs!$F$16),0)</f>
        <v>16</v>
      </c>
      <c r="AH14" s="21" t="n">
        <f aca="false">IF(AH$2-Inputs!$F$16&gt;=1,INDEX($C$11:$AL$11,AH$2-Inputs!$F$16),0)</f>
        <v>17</v>
      </c>
      <c r="AI14" s="21" t="n">
        <f aca="false">IF(AI$2-Inputs!$F$16&gt;=1,INDEX($C$11:$AL$11,AI$2-Inputs!$F$16),0)</f>
        <v>18</v>
      </c>
      <c r="AJ14" s="21" t="n">
        <f aca="false">IF(AJ$2-Inputs!$F$16&gt;=1,INDEX($C$11:$AL$11,AJ$2-Inputs!$F$16),0)</f>
        <v>19</v>
      </c>
      <c r="AK14" s="21" t="n">
        <f aca="false">IF(AK$2-Inputs!$F$16&gt;=1,INDEX($C$11:$AL$11,AK$2-Inputs!$F$16),0)</f>
        <v>19</v>
      </c>
      <c r="AL14" s="21" t="n">
        <f aca="false">IF(AL$2-Inputs!$F$16&gt;=1,INDEX($C$11:$AL$11,AL$2-Inputs!$F$16),0)</f>
        <v>20</v>
      </c>
    </row>
    <row r="15" customFormat="false" ht="15" hidden="false" customHeight="false" outlineLevel="0" collapsed="false">
      <c r="A15" s="2" t="s">
        <v>201</v>
      </c>
      <c r="B15" s="4"/>
      <c r="C15" s="9" t="n">
        <f aca="false">Schedules!C22</f>
        <v>0</v>
      </c>
      <c r="D15" s="9" t="n">
        <f aca="false">Schedules!D22</f>
        <v>1</v>
      </c>
      <c r="E15" s="9" t="n">
        <f aca="false">Schedules!E22</f>
        <v>1</v>
      </c>
      <c r="F15" s="9" t="n">
        <f aca="false">Schedules!F22</f>
        <v>1</v>
      </c>
      <c r="G15" s="9" t="n">
        <f aca="false">Schedules!G22</f>
        <v>1</v>
      </c>
      <c r="H15" s="9" t="n">
        <f aca="false">Schedules!H22</f>
        <v>0</v>
      </c>
      <c r="I15" s="9" t="n">
        <f aca="false">Schedules!I22</f>
        <v>1</v>
      </c>
      <c r="J15" s="9" t="n">
        <f aca="false">Schedules!J22</f>
        <v>1</v>
      </c>
      <c r="K15" s="9" t="n">
        <f aca="false">Schedules!K22</f>
        <v>1</v>
      </c>
      <c r="L15" s="9" t="n">
        <f aca="false">Schedules!L22</f>
        <v>0</v>
      </c>
      <c r="M15" s="9" t="n">
        <f aca="false">Schedules!M22</f>
        <v>1</v>
      </c>
      <c r="N15" s="9" t="n">
        <f aca="false">Schedules!N22</f>
        <v>0</v>
      </c>
      <c r="O15" s="9" t="n">
        <f aca="false">Schedules!O22</f>
        <v>1</v>
      </c>
      <c r="P15" s="9" t="n">
        <f aca="false">Schedules!P22</f>
        <v>1</v>
      </c>
      <c r="Q15" s="9" t="n">
        <f aca="false">Schedules!Q22</f>
        <v>1</v>
      </c>
      <c r="R15" s="9" t="n">
        <f aca="false">Schedules!R22</f>
        <v>1</v>
      </c>
      <c r="S15" s="9" t="n">
        <f aca="false">Schedules!S22</f>
        <v>1</v>
      </c>
      <c r="T15" s="9" t="n">
        <f aca="false">Schedules!T22</f>
        <v>1</v>
      </c>
      <c r="U15" s="9" t="n">
        <f aca="false">Schedules!U22</f>
        <v>1</v>
      </c>
      <c r="V15" s="9" t="n">
        <f aca="false">Schedules!V22</f>
        <v>1</v>
      </c>
      <c r="W15" s="9" t="n">
        <f aca="false">Schedules!W22</f>
        <v>1</v>
      </c>
      <c r="X15" s="9" t="n">
        <f aca="false">Schedules!X22</f>
        <v>1</v>
      </c>
      <c r="Y15" s="9" t="n">
        <f aca="false">Schedules!Y22</f>
        <v>0</v>
      </c>
      <c r="Z15" s="9" t="n">
        <f aca="false">Schedules!Z22</f>
        <v>0</v>
      </c>
      <c r="AA15" s="9" t="n">
        <f aca="false">Schedules!AA22</f>
        <v>1</v>
      </c>
      <c r="AB15" s="9" t="n">
        <f aca="false">Schedules!AB22</f>
        <v>0</v>
      </c>
      <c r="AC15" s="9" t="n">
        <f aca="false">Schedules!AC22</f>
        <v>1</v>
      </c>
      <c r="AD15" s="9" t="n">
        <f aca="false">Schedules!AD22</f>
        <v>0</v>
      </c>
      <c r="AE15" s="9" t="n">
        <f aca="false">Schedules!AE22</f>
        <v>1</v>
      </c>
      <c r="AF15" s="9" t="n">
        <f aca="false">Schedules!AF22</f>
        <v>0</v>
      </c>
      <c r="AG15" s="9" t="n">
        <f aca="false">Schedules!AG22</f>
        <v>1</v>
      </c>
      <c r="AH15" s="9" t="n">
        <f aca="false">Schedules!AH22</f>
        <v>0</v>
      </c>
      <c r="AI15" s="9" t="n">
        <f aca="false">Schedules!AI22</f>
        <v>1</v>
      </c>
      <c r="AJ15" s="9" t="n">
        <f aca="false">Schedules!AJ22</f>
        <v>0</v>
      </c>
      <c r="AK15" s="9" t="n">
        <f aca="false">Schedules!AK22</f>
        <v>1</v>
      </c>
      <c r="AL15" s="9" t="n">
        <f aca="false">Schedules!AL22</f>
        <v>0</v>
      </c>
    </row>
    <row r="16" customFormat="false" ht="15" hidden="false" customHeight="false" outlineLevel="0" collapsed="false">
      <c r="A16" s="2" t="s">
        <v>202</v>
      </c>
      <c r="B16" s="4"/>
      <c r="C16" s="21" t="n">
        <f aca="false">0+0</f>
        <v>0</v>
      </c>
      <c r="D16" s="21" t="n">
        <f aca="false">C16+C15</f>
        <v>0</v>
      </c>
      <c r="E16" s="21" t="n">
        <f aca="false">D16+D15</f>
        <v>1</v>
      </c>
      <c r="F16" s="21" t="n">
        <f aca="false">E16+E15</f>
        <v>2</v>
      </c>
      <c r="G16" s="21" t="n">
        <f aca="false">F16+F15</f>
        <v>3</v>
      </c>
      <c r="H16" s="21" t="n">
        <f aca="false">G16+G15</f>
        <v>4</v>
      </c>
      <c r="I16" s="21" t="n">
        <f aca="false">H16+H15</f>
        <v>4</v>
      </c>
      <c r="J16" s="21" t="n">
        <f aca="false">I16+I15</f>
        <v>5</v>
      </c>
      <c r="K16" s="21" t="n">
        <f aca="false">J16+J15</f>
        <v>6</v>
      </c>
      <c r="L16" s="21" t="n">
        <f aca="false">K16+K15</f>
        <v>7</v>
      </c>
      <c r="M16" s="21" t="n">
        <f aca="false">L16+L15</f>
        <v>7</v>
      </c>
      <c r="N16" s="21" t="n">
        <f aca="false">M16+M15</f>
        <v>8</v>
      </c>
      <c r="O16" s="21" t="n">
        <f aca="false">N16+N15</f>
        <v>8</v>
      </c>
      <c r="P16" s="21" t="n">
        <f aca="false">O16+O15</f>
        <v>9</v>
      </c>
      <c r="Q16" s="21" t="n">
        <f aca="false">P16+P15</f>
        <v>10</v>
      </c>
      <c r="R16" s="21" t="n">
        <f aca="false">Q16+Q15</f>
        <v>11</v>
      </c>
      <c r="S16" s="21" t="n">
        <f aca="false">R16+R15</f>
        <v>12</v>
      </c>
      <c r="T16" s="21" t="n">
        <f aca="false">S16+S15</f>
        <v>13</v>
      </c>
      <c r="U16" s="21" t="n">
        <f aca="false">T16+T15</f>
        <v>14</v>
      </c>
      <c r="V16" s="21" t="n">
        <f aca="false">U16+U15</f>
        <v>15</v>
      </c>
      <c r="W16" s="21" t="n">
        <f aca="false">V16+V15</f>
        <v>16</v>
      </c>
      <c r="X16" s="21" t="n">
        <f aca="false">W16+W15</f>
        <v>17</v>
      </c>
      <c r="Y16" s="21" t="n">
        <f aca="false">X16+X15</f>
        <v>18</v>
      </c>
      <c r="Z16" s="21" t="n">
        <f aca="false">Y16+Y15</f>
        <v>18</v>
      </c>
      <c r="AA16" s="21" t="n">
        <f aca="false">Z16+Z15</f>
        <v>18</v>
      </c>
      <c r="AB16" s="21" t="n">
        <f aca="false">AA16+AA15</f>
        <v>19</v>
      </c>
      <c r="AC16" s="21" t="n">
        <f aca="false">AB16+AB15</f>
        <v>19</v>
      </c>
      <c r="AD16" s="21" t="n">
        <f aca="false">AC16+AC15</f>
        <v>20</v>
      </c>
      <c r="AE16" s="21" t="n">
        <f aca="false">AD16+AD15</f>
        <v>20</v>
      </c>
      <c r="AF16" s="21" t="n">
        <f aca="false">AE16+AE15</f>
        <v>21</v>
      </c>
      <c r="AG16" s="21" t="n">
        <f aca="false">AF16+AF15</f>
        <v>21</v>
      </c>
      <c r="AH16" s="21" t="n">
        <f aca="false">AG16+AG15</f>
        <v>22</v>
      </c>
      <c r="AI16" s="21" t="n">
        <f aca="false">AH16+AH15</f>
        <v>22</v>
      </c>
      <c r="AJ16" s="21" t="n">
        <f aca="false">AI16+AI15</f>
        <v>23</v>
      </c>
      <c r="AK16" s="21" t="n">
        <f aca="false">AJ16+AJ15</f>
        <v>23</v>
      </c>
      <c r="AL16" s="21" t="n">
        <f aca="false">AK16+AK15</f>
        <v>24</v>
      </c>
    </row>
    <row r="17" customFormat="false" ht="15" hidden="false" customHeight="false" outlineLevel="0" collapsed="false">
      <c r="A17" s="14" t="s">
        <v>203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 customFormat="false" ht="15" hidden="false" customHeight="false" outlineLevel="0" collapsed="false">
      <c r="A18" s="2" t="s">
        <v>204</v>
      </c>
      <c r="B18" s="4"/>
      <c r="C18" s="25" t="n">
        <f aca="false">(1+Inputs!$F$13)^(C$3-1)</f>
        <v>1</v>
      </c>
      <c r="D18" s="25" t="n">
        <f aca="false">(1+Inputs!$F$13)^(D$3-1)</f>
        <v>1</v>
      </c>
      <c r="E18" s="25" t="n">
        <f aca="false">(1+Inputs!$F$13)^(E$3-1)</f>
        <v>1</v>
      </c>
      <c r="F18" s="25" t="n">
        <f aca="false">(1+Inputs!$F$13)^(F$3-1)</f>
        <v>1</v>
      </c>
      <c r="G18" s="25" t="n">
        <f aca="false">(1+Inputs!$F$13)^(G$3-1)</f>
        <v>1</v>
      </c>
      <c r="H18" s="25" t="n">
        <f aca="false">(1+Inputs!$F$13)^(H$3-1)</f>
        <v>1</v>
      </c>
      <c r="I18" s="25" t="n">
        <f aca="false">(1+Inputs!$F$13)^(I$3-1)</f>
        <v>1</v>
      </c>
      <c r="J18" s="25" t="n">
        <f aca="false">(1+Inputs!$F$13)^(J$3-1)</f>
        <v>1</v>
      </c>
      <c r="K18" s="25" t="n">
        <f aca="false">(1+Inputs!$F$13)^(K$3-1)</f>
        <v>1</v>
      </c>
      <c r="L18" s="25" t="n">
        <f aca="false">(1+Inputs!$F$13)^(L$3-1)</f>
        <v>1</v>
      </c>
      <c r="M18" s="25" t="n">
        <f aca="false">(1+Inputs!$F$13)^(M$3-1)</f>
        <v>1</v>
      </c>
      <c r="N18" s="25" t="n">
        <f aca="false">(1+Inputs!$F$13)^(N$3-1)</f>
        <v>1</v>
      </c>
      <c r="O18" s="25" t="n">
        <f aca="false">(1+Inputs!$F$13)^(O$3-1)</f>
        <v>1.05</v>
      </c>
      <c r="P18" s="25" t="n">
        <f aca="false">(1+Inputs!$F$13)^(P$3-1)</f>
        <v>1.05</v>
      </c>
      <c r="Q18" s="25" t="n">
        <f aca="false">(1+Inputs!$F$13)^(Q$3-1)</f>
        <v>1.05</v>
      </c>
      <c r="R18" s="25" t="n">
        <f aca="false">(1+Inputs!$F$13)^(R$3-1)</f>
        <v>1.05</v>
      </c>
      <c r="S18" s="25" t="n">
        <f aca="false">(1+Inputs!$F$13)^(S$3-1)</f>
        <v>1.05</v>
      </c>
      <c r="T18" s="25" t="n">
        <f aca="false">(1+Inputs!$F$13)^(T$3-1)</f>
        <v>1.05</v>
      </c>
      <c r="U18" s="25" t="n">
        <f aca="false">(1+Inputs!$F$13)^(U$3-1)</f>
        <v>1.05</v>
      </c>
      <c r="V18" s="25" t="n">
        <f aca="false">(1+Inputs!$F$13)^(V$3-1)</f>
        <v>1.05</v>
      </c>
      <c r="W18" s="25" t="n">
        <f aca="false">(1+Inputs!$F$13)^(W$3-1)</f>
        <v>1.05</v>
      </c>
      <c r="X18" s="25" t="n">
        <f aca="false">(1+Inputs!$F$13)^(X$3-1)</f>
        <v>1.05</v>
      </c>
      <c r="Y18" s="25" t="n">
        <f aca="false">(1+Inputs!$F$13)^(Y$3-1)</f>
        <v>1.05</v>
      </c>
      <c r="Z18" s="25" t="n">
        <f aca="false">(1+Inputs!$F$13)^(Z$3-1)</f>
        <v>1.05</v>
      </c>
      <c r="AA18" s="25" t="n">
        <f aca="false">(1+Inputs!$F$13)^(AA$3-1)</f>
        <v>1.1025</v>
      </c>
      <c r="AB18" s="25" t="n">
        <f aca="false">(1+Inputs!$F$13)^(AB$3-1)</f>
        <v>1.1025</v>
      </c>
      <c r="AC18" s="25" t="n">
        <f aca="false">(1+Inputs!$F$13)^(AC$3-1)</f>
        <v>1.1025</v>
      </c>
      <c r="AD18" s="25" t="n">
        <f aca="false">(1+Inputs!$F$13)^(AD$3-1)</f>
        <v>1.1025</v>
      </c>
      <c r="AE18" s="25" t="n">
        <f aca="false">(1+Inputs!$F$13)^(AE$3-1)</f>
        <v>1.1025</v>
      </c>
      <c r="AF18" s="25" t="n">
        <f aca="false">(1+Inputs!$F$13)^(AF$3-1)</f>
        <v>1.1025</v>
      </c>
      <c r="AG18" s="25" t="n">
        <f aca="false">(1+Inputs!$F$13)^(AG$3-1)</f>
        <v>1.1025</v>
      </c>
      <c r="AH18" s="25" t="n">
        <f aca="false">(1+Inputs!$F$13)^(AH$3-1)</f>
        <v>1.1025</v>
      </c>
      <c r="AI18" s="25" t="n">
        <f aca="false">(1+Inputs!$F$13)^(AI$3-1)</f>
        <v>1.1025</v>
      </c>
      <c r="AJ18" s="25" t="n">
        <f aca="false">(1+Inputs!$F$13)^(AJ$3-1)</f>
        <v>1.1025</v>
      </c>
      <c r="AK18" s="25" t="n">
        <f aca="false">(1+Inputs!$F$13)^(AK$3-1)</f>
        <v>1.1025</v>
      </c>
      <c r="AL18" s="25" t="n">
        <f aca="false">(1+Inputs!$F$13)^(AL$3-1)</f>
        <v>1.1025</v>
      </c>
    </row>
    <row r="19" customFormat="false" ht="15" hidden="false" customHeight="false" outlineLevel="0" collapsed="false">
      <c r="A19" s="2" t="s">
        <v>205</v>
      </c>
      <c r="B19" s="4"/>
      <c r="C19" s="11" t="n">
        <f aca="false">(C12*Inputs!$F$10+C13*Inputs!$F$8)*C18</f>
        <v>0</v>
      </c>
      <c r="D19" s="11" t="n">
        <f aca="false">(D12*Inputs!$F$10+D13*Inputs!$F$8)*D18</f>
        <v>0</v>
      </c>
      <c r="E19" s="11" t="n">
        <f aca="false">(E12*Inputs!$F$10+E13*Inputs!$F$8)*E18</f>
        <v>0</v>
      </c>
      <c r="F19" s="11" t="n">
        <f aca="false">(F12*Inputs!$F$10+F13*Inputs!$F$8)*F18</f>
        <v>3800</v>
      </c>
      <c r="G19" s="11" t="n">
        <f aca="false">(G12*Inputs!$F$10+G13*Inputs!$F$8)*G18</f>
        <v>3800</v>
      </c>
      <c r="H19" s="11" t="n">
        <f aca="false">(H12*Inputs!$F$10+H13*Inputs!$F$8)*H18</f>
        <v>3800</v>
      </c>
      <c r="I19" s="11" t="n">
        <f aca="false">(I12*Inputs!$F$10+I13*Inputs!$F$8)*I18</f>
        <v>3800</v>
      </c>
      <c r="J19" s="11" t="n">
        <f aca="false">(J12*Inputs!$F$10+J13*Inputs!$F$8)*J18</f>
        <v>7300</v>
      </c>
      <c r="K19" s="11" t="n">
        <f aca="false">(K12*Inputs!$F$10+K13*Inputs!$F$8)*K18</f>
        <v>7300</v>
      </c>
      <c r="L19" s="11" t="n">
        <f aca="false">(L12*Inputs!$F$10+L13*Inputs!$F$8)*L18</f>
        <v>7300</v>
      </c>
      <c r="M19" s="11" t="n">
        <f aca="false">(M12*Inputs!$F$10+M13*Inputs!$F$8)*M18</f>
        <v>10800</v>
      </c>
      <c r="N19" s="11" t="n">
        <f aca="false">(N12*Inputs!$F$10+N13*Inputs!$F$8)*N18</f>
        <v>14300</v>
      </c>
      <c r="O19" s="11" t="n">
        <f aca="false">(O12*Inputs!$F$10+O13*Inputs!$F$8)*O18</f>
        <v>18690</v>
      </c>
      <c r="P19" s="11" t="n">
        <f aca="false">(P12*Inputs!$F$10+P13*Inputs!$F$8)*P18</f>
        <v>18690</v>
      </c>
      <c r="Q19" s="11" t="n">
        <f aca="false">(Q12*Inputs!$F$10+Q13*Inputs!$F$8)*Q18</f>
        <v>18690</v>
      </c>
      <c r="R19" s="11" t="n">
        <f aca="false">(R12*Inputs!$F$10+R13*Inputs!$F$8)*R18</f>
        <v>22365</v>
      </c>
      <c r="S19" s="11" t="n">
        <f aca="false">(S12*Inputs!$F$10+S13*Inputs!$F$8)*S18</f>
        <v>26040</v>
      </c>
      <c r="T19" s="11" t="n">
        <f aca="false">(T12*Inputs!$F$10+T13*Inputs!$F$8)*T18</f>
        <v>29715</v>
      </c>
      <c r="U19" s="11" t="n">
        <f aca="false">(U12*Inputs!$F$10+U13*Inputs!$F$8)*U18</f>
        <v>29715</v>
      </c>
      <c r="V19" s="11" t="n">
        <f aca="false">(V12*Inputs!$F$10+V13*Inputs!$F$8)*V18</f>
        <v>33390</v>
      </c>
      <c r="W19" s="11" t="n">
        <f aca="false">(W12*Inputs!$F$10+W13*Inputs!$F$8)*W18</f>
        <v>33390</v>
      </c>
      <c r="X19" s="11" t="n">
        <f aca="false">(X12*Inputs!$F$10+X13*Inputs!$F$8)*X18</f>
        <v>37065</v>
      </c>
      <c r="Y19" s="11" t="n">
        <f aca="false">(Y12*Inputs!$F$10+Y13*Inputs!$F$8)*Y18</f>
        <v>40740</v>
      </c>
      <c r="Z19" s="11" t="n">
        <f aca="false">(Z12*Inputs!$F$10+Z13*Inputs!$F$8)*Z18</f>
        <v>44415</v>
      </c>
      <c r="AA19" s="11" t="n">
        <f aca="false">(AA12*Inputs!$F$10+AA13*Inputs!$F$8)*AA18</f>
        <v>50494.5</v>
      </c>
      <c r="AB19" s="11" t="n">
        <f aca="false">(AB12*Inputs!$F$10+AB13*Inputs!$F$8)*AB18</f>
        <v>54353.25</v>
      </c>
      <c r="AC19" s="11" t="n">
        <f aca="false">(AC12*Inputs!$F$10+AC13*Inputs!$F$8)*AC18</f>
        <v>54353.25</v>
      </c>
      <c r="AD19" s="11" t="n">
        <f aca="false">(AD12*Inputs!$F$10+AD13*Inputs!$F$8)*AD18</f>
        <v>58212</v>
      </c>
      <c r="AE19" s="11" t="n">
        <f aca="false">(AE12*Inputs!$F$10+AE13*Inputs!$F$8)*AE18</f>
        <v>62070.75</v>
      </c>
      <c r="AF19" s="11" t="n">
        <f aca="false">(AF12*Inputs!$F$10+AF13*Inputs!$F$8)*AF18</f>
        <v>65929.5</v>
      </c>
      <c r="AG19" s="11" t="n">
        <f aca="false">(AG12*Inputs!$F$10+AG13*Inputs!$F$8)*AG18</f>
        <v>69788.25</v>
      </c>
      <c r="AH19" s="11" t="n">
        <f aca="false">(AH12*Inputs!$F$10+AH13*Inputs!$F$8)*AH18</f>
        <v>73647</v>
      </c>
      <c r="AI19" s="11" t="n">
        <f aca="false">(AI12*Inputs!$F$10+AI13*Inputs!$F$8)*AI18</f>
        <v>73647</v>
      </c>
      <c r="AJ19" s="11" t="n">
        <f aca="false">(AJ12*Inputs!$F$10+AJ13*Inputs!$F$8)*AJ18</f>
        <v>77505.75</v>
      </c>
      <c r="AK19" s="11" t="n">
        <f aca="false">(AK12*Inputs!$F$10+AK13*Inputs!$F$8)*AK18</f>
        <v>81364.5</v>
      </c>
      <c r="AL19" s="11" t="n">
        <f aca="false">(AL12*Inputs!$F$10+AL13*Inputs!$F$8)*AL18</f>
        <v>85223.25</v>
      </c>
    </row>
    <row r="20" customFormat="false" ht="15" hidden="false" customHeight="false" outlineLevel="0" collapsed="false">
      <c r="A20" s="2" t="s">
        <v>112</v>
      </c>
      <c r="B20" s="4"/>
      <c r="C20" s="11" t="n">
        <f aca="false">C14*Inputs!$F$14*Inputs!$F$15*C18</f>
        <v>0</v>
      </c>
      <c r="D20" s="11" t="n">
        <f aca="false">D14*Inputs!$F$14*Inputs!$F$15*D18</f>
        <v>0</v>
      </c>
      <c r="E20" s="11" t="n">
        <f aca="false">E14*Inputs!$F$14*Inputs!$F$15*E18</f>
        <v>0</v>
      </c>
      <c r="F20" s="11" t="n">
        <f aca="false">F14*Inputs!$F$14*Inputs!$F$15*F18</f>
        <v>0</v>
      </c>
      <c r="G20" s="11" t="n">
        <f aca="false">G14*Inputs!$F$14*Inputs!$F$15*G18</f>
        <v>0</v>
      </c>
      <c r="H20" s="11" t="n">
        <f aca="false">H14*Inputs!$F$14*Inputs!$F$15*H18</f>
        <v>750</v>
      </c>
      <c r="I20" s="11" t="n">
        <f aca="false">I14*Inputs!$F$14*Inputs!$F$15*I18</f>
        <v>750</v>
      </c>
      <c r="J20" s="11" t="n">
        <f aca="false">J14*Inputs!$F$14*Inputs!$F$15*J18</f>
        <v>750</v>
      </c>
      <c r="K20" s="11" t="n">
        <f aca="false">K14*Inputs!$F$14*Inputs!$F$15*K18</f>
        <v>750</v>
      </c>
      <c r="L20" s="11" t="n">
        <f aca="false">L14*Inputs!$F$14*Inputs!$F$15*L18</f>
        <v>1500</v>
      </c>
      <c r="M20" s="11" t="n">
        <f aca="false">M14*Inputs!$F$14*Inputs!$F$15*M18</f>
        <v>1500</v>
      </c>
      <c r="N20" s="11" t="n">
        <f aca="false">N14*Inputs!$F$14*Inputs!$F$15*N18</f>
        <v>1500</v>
      </c>
      <c r="O20" s="11" t="n">
        <f aca="false">O14*Inputs!$F$14*Inputs!$F$15*O18</f>
        <v>2362.5</v>
      </c>
      <c r="P20" s="11" t="n">
        <f aca="false">P14*Inputs!$F$14*Inputs!$F$15*P18</f>
        <v>3150</v>
      </c>
      <c r="Q20" s="11" t="n">
        <f aca="false">Q14*Inputs!$F$14*Inputs!$F$15*Q18</f>
        <v>3937.5</v>
      </c>
      <c r="R20" s="11" t="n">
        <f aca="false">R14*Inputs!$F$14*Inputs!$F$15*R18</f>
        <v>3937.5</v>
      </c>
      <c r="S20" s="11" t="n">
        <f aca="false">S14*Inputs!$F$14*Inputs!$F$15*S18</f>
        <v>3937.5</v>
      </c>
      <c r="T20" s="11" t="n">
        <f aca="false">T14*Inputs!$F$14*Inputs!$F$15*T18</f>
        <v>4725</v>
      </c>
      <c r="U20" s="11" t="n">
        <f aca="false">U14*Inputs!$F$14*Inputs!$F$15*U18</f>
        <v>5512.5</v>
      </c>
      <c r="V20" s="11" t="n">
        <f aca="false">V14*Inputs!$F$14*Inputs!$F$15*V18</f>
        <v>6300</v>
      </c>
      <c r="W20" s="11" t="n">
        <f aca="false">W14*Inputs!$F$14*Inputs!$F$15*W18</f>
        <v>6300</v>
      </c>
      <c r="X20" s="11" t="n">
        <f aca="false">X14*Inputs!$F$14*Inputs!$F$15*X18</f>
        <v>7087.5</v>
      </c>
      <c r="Y20" s="11" t="n">
        <f aca="false">Y14*Inputs!$F$14*Inputs!$F$15*Y18</f>
        <v>7087.5</v>
      </c>
      <c r="Z20" s="11" t="n">
        <f aca="false">Z14*Inputs!$F$14*Inputs!$F$15*Z18</f>
        <v>7875</v>
      </c>
      <c r="AA20" s="11" t="n">
        <f aca="false">AA14*Inputs!$F$14*Inputs!$F$15*AA18</f>
        <v>9095.625</v>
      </c>
      <c r="AB20" s="11" t="n">
        <f aca="false">AB14*Inputs!$F$14*Inputs!$F$15*AB18</f>
        <v>9922.5</v>
      </c>
      <c r="AC20" s="11" t="n">
        <f aca="false">AC14*Inputs!$F$14*Inputs!$F$15*AC18</f>
        <v>10749.375</v>
      </c>
      <c r="AD20" s="11" t="n">
        <f aca="false">AD14*Inputs!$F$14*Inputs!$F$15*AD18</f>
        <v>11576.25</v>
      </c>
      <c r="AE20" s="11" t="n">
        <f aca="false">AE14*Inputs!$F$14*Inputs!$F$15*AE18</f>
        <v>11576.25</v>
      </c>
      <c r="AF20" s="11" t="n">
        <f aca="false">AF14*Inputs!$F$14*Inputs!$F$15*AF18</f>
        <v>12403.125</v>
      </c>
      <c r="AG20" s="11" t="n">
        <f aca="false">AG14*Inputs!$F$14*Inputs!$F$15*AG18</f>
        <v>13230</v>
      </c>
      <c r="AH20" s="11" t="n">
        <f aca="false">AH14*Inputs!$F$14*Inputs!$F$15*AH18</f>
        <v>14056.875</v>
      </c>
      <c r="AI20" s="11" t="n">
        <f aca="false">AI14*Inputs!$F$14*Inputs!$F$15*AI18</f>
        <v>14883.75</v>
      </c>
      <c r="AJ20" s="11" t="n">
        <f aca="false">AJ14*Inputs!$F$14*Inputs!$F$15*AJ18</f>
        <v>15710.625</v>
      </c>
      <c r="AK20" s="11" t="n">
        <f aca="false">AK14*Inputs!$F$14*Inputs!$F$15*AK18</f>
        <v>15710.625</v>
      </c>
      <c r="AL20" s="11" t="n">
        <f aca="false">AL14*Inputs!$F$14*Inputs!$F$15*AL18</f>
        <v>16537.5</v>
      </c>
    </row>
    <row r="21" customFormat="false" ht="15" hidden="false" customHeight="false" outlineLevel="0" collapsed="false">
      <c r="A21" s="2" t="s">
        <v>206</v>
      </c>
      <c r="B21" s="4"/>
      <c r="C21" s="11" t="n">
        <f aca="false">C8*Inputs!$F$9*Inputs!$F$11+C9*Inputs!$F$9*(1-Inputs!$F$11)+C7*Inputs!$F$7*Inputs!$F$11+C10*Inputs!$F$7*(1-Inputs!$F$11)</f>
        <v>10000</v>
      </c>
      <c r="D21" s="11" t="n">
        <f aca="false">D8*Inputs!$F$9*Inputs!$F$11+D9*Inputs!$F$9*(1-Inputs!$F$11)+D7*Inputs!$F$7*Inputs!$F$11+D10*Inputs!$F$7*(1-Inputs!$F$11)</f>
        <v>0</v>
      </c>
      <c r="E21" s="11" t="n">
        <f aca="false">E8*Inputs!$F$9*Inputs!$F$11+E9*Inputs!$F$9*(1-Inputs!$F$11)+E7*Inputs!$F$7*Inputs!$F$11+E10*Inputs!$F$7*(1-Inputs!$F$11)</f>
        <v>10000</v>
      </c>
      <c r="F21" s="11" t="n">
        <f aca="false">F8*Inputs!$F$9*Inputs!$F$11+F9*Inputs!$F$9*(1-Inputs!$F$11)+F7*Inputs!$F$7*Inputs!$F$11+F10*Inputs!$F$7*(1-Inputs!$F$11)</f>
        <v>0</v>
      </c>
      <c r="G21" s="11" t="n">
        <f aca="false">G8*Inputs!$F$9*Inputs!$F$11+G9*Inputs!$F$9*(1-Inputs!$F$11)+G7*Inputs!$F$7*Inputs!$F$11+G10*Inputs!$F$7*(1-Inputs!$F$11)</f>
        <v>12500</v>
      </c>
      <c r="H21" s="11" t="n">
        <f aca="false">H8*Inputs!$F$9*Inputs!$F$11+H9*Inputs!$F$9*(1-Inputs!$F$11)+H7*Inputs!$F$7*Inputs!$F$11+H10*Inputs!$F$7*(1-Inputs!$F$11)</f>
        <v>0</v>
      </c>
      <c r="I21" s="11" t="n">
        <f aca="false">I8*Inputs!$F$9*Inputs!$F$11+I9*Inputs!$F$9*(1-Inputs!$F$11)+I7*Inputs!$F$7*Inputs!$F$11+I10*Inputs!$F$7*(1-Inputs!$F$11)</f>
        <v>12500</v>
      </c>
      <c r="J21" s="11" t="n">
        <f aca="false">J8*Inputs!$F$9*Inputs!$F$11+J9*Inputs!$F$9*(1-Inputs!$F$11)+J7*Inputs!$F$7*Inputs!$F$11+J10*Inputs!$F$7*(1-Inputs!$F$11)</f>
        <v>12500</v>
      </c>
      <c r="K21" s="11" t="n">
        <f aca="false">K8*Inputs!$F$9*Inputs!$F$11+K9*Inputs!$F$9*(1-Inputs!$F$11)+K7*Inputs!$F$7*Inputs!$F$11+K10*Inputs!$F$7*(1-Inputs!$F$11)</f>
        <v>12500</v>
      </c>
      <c r="L21" s="11" t="n">
        <f aca="false">L8*Inputs!$F$9*Inputs!$F$11+L9*Inputs!$F$9*(1-Inputs!$F$11)+L7*Inputs!$F$7*Inputs!$F$11+L10*Inputs!$F$7*(1-Inputs!$F$11)</f>
        <v>25000</v>
      </c>
      <c r="M21" s="11" t="n">
        <f aca="false">M8*Inputs!$F$9*Inputs!$F$11+M9*Inputs!$F$9*(1-Inputs!$F$11)+M7*Inputs!$F$7*Inputs!$F$11+M10*Inputs!$F$7*(1-Inputs!$F$11)</f>
        <v>12500</v>
      </c>
      <c r="N21" s="11" t="n">
        <f aca="false">N8*Inputs!$F$9*Inputs!$F$11+N9*Inputs!$F$9*(1-Inputs!$F$11)+N7*Inputs!$F$7*Inputs!$F$11+N10*Inputs!$F$7*(1-Inputs!$F$11)</f>
        <v>12500</v>
      </c>
      <c r="O21" s="11" t="n">
        <f aca="false">O8*Inputs!$F$9*Inputs!$F$11+O9*Inputs!$F$9*(1-Inputs!$F$11)+O7*Inputs!$F$7*Inputs!$F$11+O10*Inputs!$F$7*(1-Inputs!$F$11)</f>
        <v>12500</v>
      </c>
      <c r="P21" s="11" t="n">
        <f aca="false">P8*Inputs!$F$9*Inputs!$F$11+P9*Inputs!$F$9*(1-Inputs!$F$11)+P7*Inputs!$F$7*Inputs!$F$11+P10*Inputs!$F$7*(1-Inputs!$F$11)</f>
        <v>12500</v>
      </c>
      <c r="Q21" s="11" t="n">
        <f aca="false">Q8*Inputs!$F$9*Inputs!$F$11+Q9*Inputs!$F$9*(1-Inputs!$F$11)+Q7*Inputs!$F$7*Inputs!$F$11+Q10*Inputs!$F$7*(1-Inputs!$F$11)</f>
        <v>25000</v>
      </c>
      <c r="R21" s="11" t="n">
        <f aca="false">R8*Inputs!$F$9*Inputs!$F$11+R9*Inputs!$F$9*(1-Inputs!$F$11)+R7*Inputs!$F$7*Inputs!$F$11+R10*Inputs!$F$7*(1-Inputs!$F$11)</f>
        <v>12500</v>
      </c>
      <c r="S21" s="11" t="n">
        <f aca="false">S8*Inputs!$F$9*Inputs!$F$11+S9*Inputs!$F$9*(1-Inputs!$F$11)+S7*Inputs!$F$7*Inputs!$F$11+S10*Inputs!$F$7*(1-Inputs!$F$11)</f>
        <v>25000</v>
      </c>
      <c r="T21" s="11" t="n">
        <f aca="false">T8*Inputs!$F$9*Inputs!$F$11+T9*Inputs!$F$9*(1-Inputs!$F$11)+T7*Inputs!$F$7*Inputs!$F$11+T10*Inputs!$F$7*(1-Inputs!$F$11)</f>
        <v>0</v>
      </c>
      <c r="U21" s="11" t="n">
        <f aca="false">U8*Inputs!$F$9*Inputs!$F$11+U9*Inputs!$F$9*(1-Inputs!$F$11)+U7*Inputs!$F$7*Inputs!$F$11+U10*Inputs!$F$7*(1-Inputs!$F$11)</f>
        <v>25000</v>
      </c>
      <c r="V21" s="11" t="n">
        <f aca="false">V8*Inputs!$F$9*Inputs!$F$11+V9*Inputs!$F$9*(1-Inputs!$F$11)+V7*Inputs!$F$7*Inputs!$F$11+V10*Inputs!$F$7*(1-Inputs!$F$11)</f>
        <v>12500</v>
      </c>
      <c r="W21" s="11" t="n">
        <f aca="false">W8*Inputs!$F$9*Inputs!$F$11+W9*Inputs!$F$9*(1-Inputs!$F$11)+W7*Inputs!$F$7*Inputs!$F$11+W10*Inputs!$F$7*(1-Inputs!$F$11)</f>
        <v>25000</v>
      </c>
      <c r="X21" s="11" t="n">
        <f aca="false">X8*Inputs!$F$9*Inputs!$F$11+X9*Inputs!$F$9*(1-Inputs!$F$11)+X7*Inputs!$F$7*Inputs!$F$11+X10*Inputs!$F$7*(1-Inputs!$F$11)</f>
        <v>25000</v>
      </c>
      <c r="Y21" s="11" t="n">
        <f aca="false">Y8*Inputs!$F$9*Inputs!$F$11+Y9*Inputs!$F$9*(1-Inputs!$F$11)+Y7*Inputs!$F$7*Inputs!$F$11+Y10*Inputs!$F$7*(1-Inputs!$F$11)</f>
        <v>25000</v>
      </c>
      <c r="Z21" s="11" t="n">
        <f aca="false">Z8*Inputs!$F$9*Inputs!$F$11+Z9*Inputs!$F$9*(1-Inputs!$F$11)+Z7*Inputs!$F$7*Inputs!$F$11+Z10*Inputs!$F$7*(1-Inputs!$F$11)</f>
        <v>12500</v>
      </c>
      <c r="AA21" s="11" t="n">
        <f aca="false">AA8*Inputs!$F$9*Inputs!$F$11+AA9*Inputs!$F$9*(1-Inputs!$F$11)+AA7*Inputs!$F$7*Inputs!$F$11+AA10*Inputs!$F$7*(1-Inputs!$F$11)</f>
        <v>25000</v>
      </c>
      <c r="AB21" s="11" t="n">
        <f aca="false">AB8*Inputs!$F$9*Inputs!$F$11+AB9*Inputs!$F$9*(1-Inputs!$F$11)+AB7*Inputs!$F$7*Inputs!$F$11+AB10*Inputs!$F$7*(1-Inputs!$F$11)</f>
        <v>12500</v>
      </c>
      <c r="AC21" s="11" t="n">
        <f aca="false">AC8*Inputs!$F$9*Inputs!$F$11+AC9*Inputs!$F$9*(1-Inputs!$F$11)+AC7*Inputs!$F$7*Inputs!$F$11+AC10*Inputs!$F$7*(1-Inputs!$F$11)</f>
        <v>25000</v>
      </c>
      <c r="AD21" s="11" t="n">
        <f aca="false">AD8*Inputs!$F$9*Inputs!$F$11+AD9*Inputs!$F$9*(1-Inputs!$F$11)+AD7*Inputs!$F$7*Inputs!$F$11+AD10*Inputs!$F$7*(1-Inputs!$F$11)</f>
        <v>25000</v>
      </c>
      <c r="AE21" s="11" t="n">
        <f aca="false">AE8*Inputs!$F$9*Inputs!$F$11+AE9*Inputs!$F$9*(1-Inputs!$F$11)+AE7*Inputs!$F$7*Inputs!$F$11+AE10*Inputs!$F$7*(1-Inputs!$F$11)</f>
        <v>25000</v>
      </c>
      <c r="AF21" s="11" t="n">
        <f aca="false">AF8*Inputs!$F$9*Inputs!$F$11+AF9*Inputs!$F$9*(1-Inputs!$F$11)+AF7*Inputs!$F$7*Inputs!$F$11+AF10*Inputs!$F$7*(1-Inputs!$F$11)</f>
        <v>12500</v>
      </c>
      <c r="AG21" s="11" t="n">
        <f aca="false">AG8*Inputs!$F$9*Inputs!$F$11+AG9*Inputs!$F$9*(1-Inputs!$F$11)+AG7*Inputs!$F$7*Inputs!$F$11+AG10*Inputs!$F$7*(1-Inputs!$F$11)</f>
        <v>25000</v>
      </c>
      <c r="AH21" s="11" t="n">
        <f aca="false">AH8*Inputs!$F$9*Inputs!$F$11+AH9*Inputs!$F$9*(1-Inputs!$F$11)+AH7*Inputs!$F$7*Inputs!$F$11+AH10*Inputs!$F$7*(1-Inputs!$F$11)</f>
        <v>12500</v>
      </c>
      <c r="AI21" s="11" t="n">
        <f aca="false">AI8*Inputs!$F$9*Inputs!$F$11+AI9*Inputs!$F$9*(1-Inputs!$F$11)+AI7*Inputs!$F$7*Inputs!$F$11+AI10*Inputs!$F$7*(1-Inputs!$F$11)</f>
        <v>25000</v>
      </c>
      <c r="AJ21" s="11" t="n">
        <f aca="false">AJ8*Inputs!$F$9*Inputs!$F$11+AJ9*Inputs!$F$9*(1-Inputs!$F$11)+AJ7*Inputs!$F$7*Inputs!$F$11+AJ10*Inputs!$F$7*(1-Inputs!$F$11)</f>
        <v>25000</v>
      </c>
      <c r="AK21" s="11" t="n">
        <f aca="false">AK8*Inputs!$F$9*Inputs!$F$11+AK9*Inputs!$F$9*(1-Inputs!$F$11)+AK7*Inputs!$F$7*Inputs!$F$11+AK10*Inputs!$F$7*(1-Inputs!$F$11)</f>
        <v>25000</v>
      </c>
      <c r="AL21" s="11" t="n">
        <f aca="false">AL8*Inputs!$F$9*Inputs!$F$11+AL9*Inputs!$F$9*(1-Inputs!$F$11)+AL7*Inputs!$F$7*Inputs!$F$11+AL10*Inputs!$F$7*(1-Inputs!$F$11)</f>
        <v>25000</v>
      </c>
    </row>
    <row r="22" customFormat="false" ht="15" hidden="false" customHeight="false" outlineLevel="0" collapsed="false">
      <c r="A22" s="2" t="s">
        <v>113</v>
      </c>
      <c r="B22" s="4"/>
      <c r="C22" s="11" t="n">
        <f aca="false">(C9+C10)*Inputs!$F$17*Inputs!$F$18</f>
        <v>0</v>
      </c>
      <c r="D22" s="11" t="n">
        <f aca="false">(D9+D10)*Inputs!$F$17*Inputs!$F$18</f>
        <v>0</v>
      </c>
      <c r="E22" s="11" t="n">
        <f aca="false">(E9+E10)*Inputs!$F$17*Inputs!$F$18</f>
        <v>2240</v>
      </c>
      <c r="F22" s="11" t="n">
        <f aca="false">(F9+F10)*Inputs!$F$17*Inputs!$F$18</f>
        <v>0</v>
      </c>
      <c r="G22" s="11" t="n">
        <f aca="false">(G9+G10)*Inputs!$F$17*Inputs!$F$18</f>
        <v>0</v>
      </c>
      <c r="H22" s="11" t="n">
        <f aca="false">(H9+H10)*Inputs!$F$17*Inputs!$F$18</f>
        <v>0</v>
      </c>
      <c r="I22" s="11" t="n">
        <f aca="false">(I9+I10)*Inputs!$F$17*Inputs!$F$18</f>
        <v>2240</v>
      </c>
      <c r="J22" s="11" t="n">
        <f aca="false">(J9+J10)*Inputs!$F$17*Inputs!$F$18</f>
        <v>0</v>
      </c>
      <c r="K22" s="11" t="n">
        <f aca="false">(K9+K10)*Inputs!$F$17*Inputs!$F$18</f>
        <v>0</v>
      </c>
      <c r="L22" s="11" t="n">
        <f aca="false">(L9+L10)*Inputs!$F$17*Inputs!$F$18</f>
        <v>2240</v>
      </c>
      <c r="M22" s="11" t="n">
        <f aca="false">(M9+M10)*Inputs!$F$17*Inputs!$F$18</f>
        <v>2240</v>
      </c>
      <c r="N22" s="11" t="n">
        <f aca="false">(N9+N10)*Inputs!$F$17*Inputs!$F$18</f>
        <v>2240</v>
      </c>
      <c r="O22" s="11" t="n">
        <f aca="false">(O9+O10)*Inputs!$F$17*Inputs!$F$18</f>
        <v>0</v>
      </c>
      <c r="P22" s="11" t="n">
        <f aca="false">(P9+P10)*Inputs!$F$17*Inputs!$F$18</f>
        <v>0</v>
      </c>
      <c r="Q22" s="11" t="n">
        <f aca="false">(Q9+Q10)*Inputs!$F$17*Inputs!$F$18</f>
        <v>2240</v>
      </c>
      <c r="R22" s="11" t="n">
        <f aca="false">(R9+R10)*Inputs!$F$17*Inputs!$F$18</f>
        <v>2240</v>
      </c>
      <c r="S22" s="11" t="n">
        <f aca="false">(S9+S10)*Inputs!$F$17*Inputs!$F$18</f>
        <v>2240</v>
      </c>
      <c r="T22" s="11" t="n">
        <f aca="false">(T9+T10)*Inputs!$F$17*Inputs!$F$18</f>
        <v>0</v>
      </c>
      <c r="U22" s="11" t="n">
        <f aca="false">(U9+U10)*Inputs!$F$17*Inputs!$F$18</f>
        <v>2240</v>
      </c>
      <c r="V22" s="11" t="n">
        <f aca="false">(V9+V10)*Inputs!$F$17*Inputs!$F$18</f>
        <v>0</v>
      </c>
      <c r="W22" s="11" t="n">
        <f aca="false">(W9+W10)*Inputs!$F$17*Inputs!$F$18</f>
        <v>2240</v>
      </c>
      <c r="X22" s="11" t="n">
        <f aca="false">(X9+X10)*Inputs!$F$17*Inputs!$F$18</f>
        <v>2240</v>
      </c>
      <c r="Y22" s="11" t="n">
        <f aca="false">(Y9+Y10)*Inputs!$F$17*Inputs!$F$18</f>
        <v>2240</v>
      </c>
      <c r="Z22" s="11" t="n">
        <f aca="false">(Z9+Z10)*Inputs!$F$17*Inputs!$F$18</f>
        <v>2240</v>
      </c>
      <c r="AA22" s="11" t="n">
        <f aca="false">(AA9+AA10)*Inputs!$F$17*Inputs!$F$18</f>
        <v>2240</v>
      </c>
      <c r="AB22" s="11" t="n">
        <f aca="false">(AB9+AB10)*Inputs!$F$17*Inputs!$F$18</f>
        <v>0</v>
      </c>
      <c r="AC22" s="11" t="n">
        <f aca="false">(AC9+AC10)*Inputs!$F$17*Inputs!$F$18</f>
        <v>2240</v>
      </c>
      <c r="AD22" s="11" t="n">
        <f aca="false">(AD9+AD10)*Inputs!$F$17*Inputs!$F$18</f>
        <v>2240</v>
      </c>
      <c r="AE22" s="11" t="n">
        <f aca="false">(AE9+AE10)*Inputs!$F$17*Inputs!$F$18</f>
        <v>2240</v>
      </c>
      <c r="AF22" s="11" t="n">
        <f aca="false">(AF9+AF10)*Inputs!$F$17*Inputs!$F$18</f>
        <v>2240</v>
      </c>
      <c r="AG22" s="11" t="n">
        <f aca="false">(AG9+AG10)*Inputs!$F$17*Inputs!$F$18</f>
        <v>2240</v>
      </c>
      <c r="AH22" s="11" t="n">
        <f aca="false">(AH9+AH10)*Inputs!$F$17*Inputs!$F$18</f>
        <v>0</v>
      </c>
      <c r="AI22" s="11" t="n">
        <f aca="false">(AI9+AI10)*Inputs!$F$17*Inputs!$F$18</f>
        <v>2240</v>
      </c>
      <c r="AJ22" s="11" t="n">
        <f aca="false">(AJ9+AJ10)*Inputs!$F$17*Inputs!$F$18</f>
        <v>2240</v>
      </c>
      <c r="AK22" s="11" t="n">
        <f aca="false">(AK9+AK10)*Inputs!$F$17*Inputs!$F$18</f>
        <v>2240</v>
      </c>
      <c r="AL22" s="11" t="n">
        <f aca="false">(AL9+AL10)*Inputs!$F$17*Inputs!$F$18</f>
        <v>2240</v>
      </c>
    </row>
    <row r="23" customFormat="false" ht="15" hidden="false" customHeight="false" outlineLevel="0" collapsed="false">
      <c r="A23" s="2" t="s">
        <v>114</v>
      </c>
      <c r="B23" s="4"/>
      <c r="C23" s="11" t="n">
        <f aca="false">C15*Inputs!$F$20+C16*Inputs!$F$21</f>
        <v>0</v>
      </c>
      <c r="D23" s="11" t="n">
        <f aca="false">D15*Inputs!$F$20+D16*Inputs!$F$21</f>
        <v>5000</v>
      </c>
      <c r="E23" s="11" t="n">
        <f aca="false">E15*Inputs!$F$20+E16*Inputs!$F$21</f>
        <v>5600</v>
      </c>
      <c r="F23" s="11" t="n">
        <f aca="false">F15*Inputs!$F$20+F16*Inputs!$F$21</f>
        <v>6200</v>
      </c>
      <c r="G23" s="11" t="n">
        <f aca="false">G15*Inputs!$F$20+G16*Inputs!$F$21</f>
        <v>6800</v>
      </c>
      <c r="H23" s="11" t="n">
        <f aca="false">H15*Inputs!$F$20+H16*Inputs!$F$21</f>
        <v>2400</v>
      </c>
      <c r="I23" s="11" t="n">
        <f aca="false">I15*Inputs!$F$20+I16*Inputs!$F$21</f>
        <v>7400</v>
      </c>
      <c r="J23" s="11" t="n">
        <f aca="false">J15*Inputs!$F$20+J16*Inputs!$F$21</f>
        <v>8000</v>
      </c>
      <c r="K23" s="11" t="n">
        <f aca="false">K15*Inputs!$F$20+K16*Inputs!$F$21</f>
        <v>8600</v>
      </c>
      <c r="L23" s="11" t="n">
        <f aca="false">L15*Inputs!$F$20+L16*Inputs!$F$21</f>
        <v>4200</v>
      </c>
      <c r="M23" s="11" t="n">
        <f aca="false">M15*Inputs!$F$20+M16*Inputs!$F$21</f>
        <v>9200</v>
      </c>
      <c r="N23" s="11" t="n">
        <f aca="false">N15*Inputs!$F$20+N16*Inputs!$F$21</f>
        <v>4800</v>
      </c>
      <c r="O23" s="11" t="n">
        <f aca="false">O15*Inputs!$F$20+O16*Inputs!$F$21</f>
        <v>9800</v>
      </c>
      <c r="P23" s="11" t="n">
        <f aca="false">P15*Inputs!$F$20+P16*Inputs!$F$21</f>
        <v>10400</v>
      </c>
      <c r="Q23" s="11" t="n">
        <f aca="false">Q15*Inputs!$F$20+Q16*Inputs!$F$21</f>
        <v>11000</v>
      </c>
      <c r="R23" s="11" t="n">
        <f aca="false">R15*Inputs!$F$20+R16*Inputs!$F$21</f>
        <v>11600</v>
      </c>
      <c r="S23" s="11" t="n">
        <f aca="false">S15*Inputs!$F$20+S16*Inputs!$F$21</f>
        <v>12200</v>
      </c>
      <c r="T23" s="11" t="n">
        <f aca="false">T15*Inputs!$F$20+T16*Inputs!$F$21</f>
        <v>12800</v>
      </c>
      <c r="U23" s="11" t="n">
        <f aca="false">U15*Inputs!$F$20+U16*Inputs!$F$21</f>
        <v>13400</v>
      </c>
      <c r="V23" s="11" t="n">
        <f aca="false">V15*Inputs!$F$20+V16*Inputs!$F$21</f>
        <v>14000</v>
      </c>
      <c r="W23" s="11" t="n">
        <f aca="false">W15*Inputs!$F$20+W16*Inputs!$F$21</f>
        <v>14600</v>
      </c>
      <c r="X23" s="11" t="n">
        <f aca="false">X15*Inputs!$F$20+X16*Inputs!$F$21</f>
        <v>15200</v>
      </c>
      <c r="Y23" s="11" t="n">
        <f aca="false">Y15*Inputs!$F$20+Y16*Inputs!$F$21</f>
        <v>10800</v>
      </c>
      <c r="Z23" s="11" t="n">
        <f aca="false">Z15*Inputs!$F$20+Z16*Inputs!$F$21</f>
        <v>10800</v>
      </c>
      <c r="AA23" s="11" t="n">
        <f aca="false">AA15*Inputs!$F$20+AA16*Inputs!$F$21</f>
        <v>15800</v>
      </c>
      <c r="AB23" s="11" t="n">
        <f aca="false">AB15*Inputs!$F$20+AB16*Inputs!$F$21</f>
        <v>11400</v>
      </c>
      <c r="AC23" s="11" t="n">
        <f aca="false">AC15*Inputs!$F$20+AC16*Inputs!$F$21</f>
        <v>16400</v>
      </c>
      <c r="AD23" s="11" t="n">
        <f aca="false">AD15*Inputs!$F$20+AD16*Inputs!$F$21</f>
        <v>12000</v>
      </c>
      <c r="AE23" s="11" t="n">
        <f aca="false">AE15*Inputs!$F$20+AE16*Inputs!$F$21</f>
        <v>17000</v>
      </c>
      <c r="AF23" s="11" t="n">
        <f aca="false">AF15*Inputs!$F$20+AF16*Inputs!$F$21</f>
        <v>12600</v>
      </c>
      <c r="AG23" s="11" t="n">
        <f aca="false">AG15*Inputs!$F$20+AG16*Inputs!$F$21</f>
        <v>17600</v>
      </c>
      <c r="AH23" s="11" t="n">
        <f aca="false">AH15*Inputs!$F$20+AH16*Inputs!$F$21</f>
        <v>13200</v>
      </c>
      <c r="AI23" s="11" t="n">
        <f aca="false">AI15*Inputs!$F$20+AI16*Inputs!$F$21</f>
        <v>18200</v>
      </c>
      <c r="AJ23" s="11" t="n">
        <f aca="false">AJ15*Inputs!$F$20+AJ16*Inputs!$F$21</f>
        <v>13800</v>
      </c>
      <c r="AK23" s="11" t="n">
        <f aca="false">AK15*Inputs!$F$20+AK16*Inputs!$F$21</f>
        <v>18800</v>
      </c>
      <c r="AL23" s="11" t="n">
        <f aca="false">AL15*Inputs!$F$20+AL16*Inputs!$F$21</f>
        <v>14400</v>
      </c>
    </row>
    <row r="24" customFormat="false" ht="15" hidden="false" customHeight="false" outlineLevel="0" collapsed="false">
      <c r="A24" s="2" t="s">
        <v>116</v>
      </c>
      <c r="B24" s="4"/>
      <c r="C24" s="7" t="n">
        <f aca="false">Schedules!C23</f>
        <v>0</v>
      </c>
      <c r="D24" s="7" t="n">
        <f aca="false">Schedules!D23</f>
        <v>0</v>
      </c>
      <c r="E24" s="7" t="n">
        <f aca="false">Schedules!E23</f>
        <v>0</v>
      </c>
      <c r="F24" s="7" t="n">
        <f aca="false">Schedules!F23</f>
        <v>0</v>
      </c>
      <c r="G24" s="7" t="n">
        <f aca="false">Schedules!G23</f>
        <v>0</v>
      </c>
      <c r="H24" s="7" t="n">
        <f aca="false">Schedules!H23</f>
        <v>5000</v>
      </c>
      <c r="I24" s="7" t="n">
        <f aca="false">Schedules!I23</f>
        <v>0</v>
      </c>
      <c r="J24" s="7" t="n">
        <f aca="false">Schedules!J23</f>
        <v>4000</v>
      </c>
      <c r="K24" s="7" t="n">
        <f aca="false">Schedules!K23</f>
        <v>0</v>
      </c>
      <c r="L24" s="7" t="n">
        <f aca="false">Schedules!L23</f>
        <v>20000</v>
      </c>
      <c r="M24" s="7" t="n">
        <f aca="false">Schedules!M23</f>
        <v>0</v>
      </c>
      <c r="N24" s="7" t="n">
        <f aca="false">Schedules!N23</f>
        <v>0</v>
      </c>
      <c r="O24" s="7" t="n">
        <f aca="false">Schedules!O23</f>
        <v>0</v>
      </c>
      <c r="P24" s="7" t="n">
        <f aca="false">Schedules!P23</f>
        <v>0</v>
      </c>
      <c r="Q24" s="7" t="n">
        <f aca="false">Schedules!Q23</f>
        <v>0</v>
      </c>
      <c r="R24" s="7" t="n">
        <f aca="false">Schedules!R23</f>
        <v>25000</v>
      </c>
      <c r="S24" s="7" t="n">
        <f aca="false">Schedules!S23</f>
        <v>0</v>
      </c>
      <c r="T24" s="7" t="n">
        <f aca="false">Schedules!T23</f>
        <v>0</v>
      </c>
      <c r="U24" s="7" t="n">
        <f aca="false">Schedules!U23</f>
        <v>20000</v>
      </c>
      <c r="V24" s="7" t="n">
        <f aca="false">Schedules!V23</f>
        <v>0</v>
      </c>
      <c r="W24" s="7" t="n">
        <f aca="false">Schedules!W23</f>
        <v>0</v>
      </c>
      <c r="X24" s="7" t="n">
        <f aca="false">Schedules!X23</f>
        <v>30000</v>
      </c>
      <c r="Y24" s="7" t="n">
        <f aca="false">Schedules!Y23</f>
        <v>0</v>
      </c>
      <c r="Z24" s="7" t="n">
        <f aca="false">Schedules!Z23</f>
        <v>0</v>
      </c>
      <c r="AA24" s="7" t="n">
        <f aca="false">Schedules!AA23</f>
        <v>0</v>
      </c>
      <c r="AB24" s="7" t="n">
        <f aca="false">Schedules!AB23</f>
        <v>0</v>
      </c>
      <c r="AC24" s="7" t="n">
        <f aca="false">Schedules!AC23</f>
        <v>30000</v>
      </c>
      <c r="AD24" s="7" t="n">
        <f aca="false">Schedules!AD23</f>
        <v>0</v>
      </c>
      <c r="AE24" s="7" t="n">
        <f aca="false">Schedules!AE23</f>
        <v>0</v>
      </c>
      <c r="AF24" s="7" t="n">
        <f aca="false">Schedules!AF23</f>
        <v>40000</v>
      </c>
      <c r="AG24" s="7" t="n">
        <f aca="false">Schedules!AG23</f>
        <v>0</v>
      </c>
      <c r="AH24" s="7" t="n">
        <f aca="false">Schedules!AH23</f>
        <v>0</v>
      </c>
      <c r="AI24" s="7" t="n">
        <f aca="false">Schedules!AI23</f>
        <v>30000</v>
      </c>
      <c r="AJ24" s="7" t="n">
        <f aca="false">Schedules!AJ23</f>
        <v>0</v>
      </c>
      <c r="AK24" s="7" t="n">
        <f aca="false">Schedules!AK23</f>
        <v>0</v>
      </c>
      <c r="AL24" s="7" t="n">
        <f aca="false">Schedules!AL23</f>
        <v>0</v>
      </c>
    </row>
    <row r="25" customFormat="false" ht="15" hidden="false" customHeight="false" outlineLevel="0" collapsed="false">
      <c r="A25" s="3" t="s">
        <v>207</v>
      </c>
      <c r="B25" s="4"/>
      <c r="C25" s="11" t="n">
        <f aca="false">SUM(C19:C24)</f>
        <v>10000</v>
      </c>
      <c r="D25" s="11" t="n">
        <f aca="false">SUM(D19:D24)</f>
        <v>5000</v>
      </c>
      <c r="E25" s="11" t="n">
        <f aca="false">SUM(E19:E24)</f>
        <v>17840</v>
      </c>
      <c r="F25" s="11" t="n">
        <f aca="false">SUM(F19:F24)</f>
        <v>10000</v>
      </c>
      <c r="G25" s="11" t="n">
        <f aca="false">SUM(G19:G24)</f>
        <v>23100</v>
      </c>
      <c r="H25" s="11" t="n">
        <f aca="false">SUM(H19:H24)</f>
        <v>11950</v>
      </c>
      <c r="I25" s="11" t="n">
        <f aca="false">SUM(I19:I24)</f>
        <v>26690</v>
      </c>
      <c r="J25" s="11" t="n">
        <f aca="false">SUM(J19:J24)</f>
        <v>32550</v>
      </c>
      <c r="K25" s="11" t="n">
        <f aca="false">SUM(K19:K24)</f>
        <v>29150</v>
      </c>
      <c r="L25" s="11" t="n">
        <f aca="false">SUM(L19:L24)</f>
        <v>60240</v>
      </c>
      <c r="M25" s="11" t="n">
        <f aca="false">SUM(M19:M24)</f>
        <v>36240</v>
      </c>
      <c r="N25" s="11" t="n">
        <f aca="false">SUM(N19:N24)</f>
        <v>35340</v>
      </c>
      <c r="O25" s="11" t="n">
        <f aca="false">SUM(O19:O24)</f>
        <v>43352.5</v>
      </c>
      <c r="P25" s="11" t="n">
        <f aca="false">SUM(P19:P24)</f>
        <v>44740</v>
      </c>
      <c r="Q25" s="11" t="n">
        <f aca="false">SUM(Q19:Q24)</f>
        <v>60867.5</v>
      </c>
      <c r="R25" s="11" t="n">
        <f aca="false">SUM(R19:R24)</f>
        <v>77642.5</v>
      </c>
      <c r="S25" s="11" t="n">
        <f aca="false">SUM(S19:S24)</f>
        <v>69417.5</v>
      </c>
      <c r="T25" s="11" t="n">
        <f aca="false">SUM(T19:T24)</f>
        <v>47240</v>
      </c>
      <c r="U25" s="11" t="n">
        <f aca="false">SUM(U19:U24)</f>
        <v>95867.5</v>
      </c>
      <c r="V25" s="11" t="n">
        <f aca="false">SUM(V19:V24)</f>
        <v>66190</v>
      </c>
      <c r="W25" s="11" t="n">
        <f aca="false">SUM(W19:W24)</f>
        <v>81530</v>
      </c>
      <c r="X25" s="11" t="n">
        <f aca="false">SUM(X19:X24)</f>
        <v>116592.5</v>
      </c>
      <c r="Y25" s="11" t="n">
        <f aca="false">SUM(Y19:Y24)</f>
        <v>85867.5</v>
      </c>
      <c r="Z25" s="11" t="n">
        <f aca="false">SUM(Z19:Z24)</f>
        <v>77830</v>
      </c>
      <c r="AA25" s="11" t="n">
        <f aca="false">SUM(AA19:AA24)</f>
        <v>102630.125</v>
      </c>
      <c r="AB25" s="11" t="n">
        <f aca="false">SUM(AB19:AB24)</f>
        <v>88175.75</v>
      </c>
      <c r="AC25" s="11" t="n">
        <f aca="false">SUM(AC19:AC24)</f>
        <v>138742.625</v>
      </c>
      <c r="AD25" s="11" t="n">
        <f aca="false">SUM(AD19:AD24)</f>
        <v>109028.25</v>
      </c>
      <c r="AE25" s="11" t="n">
        <f aca="false">SUM(AE19:AE24)</f>
        <v>117887</v>
      </c>
      <c r="AF25" s="11" t="n">
        <f aca="false">SUM(AF19:AF24)</f>
        <v>145672.625</v>
      </c>
      <c r="AG25" s="11" t="n">
        <f aca="false">SUM(AG19:AG24)</f>
        <v>127858.25</v>
      </c>
      <c r="AH25" s="11" t="n">
        <f aca="false">SUM(AH19:AH24)</f>
        <v>113403.875</v>
      </c>
      <c r="AI25" s="11" t="n">
        <f aca="false">SUM(AI19:AI24)</f>
        <v>163970.75</v>
      </c>
      <c r="AJ25" s="11" t="n">
        <f aca="false">SUM(AJ19:AJ24)</f>
        <v>134256.375</v>
      </c>
      <c r="AK25" s="11" t="n">
        <f aca="false">SUM(AK19:AK24)</f>
        <v>143115.125</v>
      </c>
      <c r="AL25" s="11" t="n">
        <f aca="false">SUM(AL19:AL24)</f>
        <v>143400.75</v>
      </c>
    </row>
    <row r="26" customFormat="false" ht="15" hidden="false" customHeight="false" outlineLevel="0" collapsed="false">
      <c r="A26" s="3" t="s">
        <v>208</v>
      </c>
      <c r="B26" s="4"/>
      <c r="C26" s="11" t="n">
        <f aca="false">C19+C20+C16*Inputs!$F$21</f>
        <v>0</v>
      </c>
      <c r="D26" s="11" t="n">
        <f aca="false">D19+D20+D16*Inputs!$F$21</f>
        <v>0</v>
      </c>
      <c r="E26" s="11" t="n">
        <f aca="false">E19+E20+E16*Inputs!$F$21</f>
        <v>600</v>
      </c>
      <c r="F26" s="11" t="n">
        <f aca="false">F19+F20+F16*Inputs!$F$21</f>
        <v>5000</v>
      </c>
      <c r="G26" s="11" t="n">
        <f aca="false">G19+G20+G16*Inputs!$F$21</f>
        <v>5600</v>
      </c>
      <c r="H26" s="11" t="n">
        <f aca="false">H19+H20+H16*Inputs!$F$21</f>
        <v>6950</v>
      </c>
      <c r="I26" s="11" t="n">
        <f aca="false">I19+I20+I16*Inputs!$F$21</f>
        <v>6950</v>
      </c>
      <c r="J26" s="11" t="n">
        <f aca="false">J19+J20+J16*Inputs!$F$21</f>
        <v>11050</v>
      </c>
      <c r="K26" s="11" t="n">
        <f aca="false">K19+K20+K16*Inputs!$F$21</f>
        <v>11650</v>
      </c>
      <c r="L26" s="11" t="n">
        <f aca="false">L19+L20+L16*Inputs!$F$21</f>
        <v>13000</v>
      </c>
      <c r="M26" s="11" t="n">
        <f aca="false">M19+M20+M16*Inputs!$F$21</f>
        <v>16500</v>
      </c>
      <c r="N26" s="11" t="n">
        <f aca="false">N19+N20+N16*Inputs!$F$21</f>
        <v>20600</v>
      </c>
      <c r="O26" s="11" t="n">
        <f aca="false">O19+O20+O16*Inputs!$F$21</f>
        <v>25852.5</v>
      </c>
      <c r="P26" s="11" t="n">
        <f aca="false">P19+P20+P16*Inputs!$F$21</f>
        <v>27240</v>
      </c>
      <c r="Q26" s="11" t="n">
        <f aca="false">Q19+Q20+Q16*Inputs!$F$21</f>
        <v>28627.5</v>
      </c>
      <c r="R26" s="11" t="n">
        <f aca="false">R19+R20+R16*Inputs!$F$21</f>
        <v>32902.5</v>
      </c>
      <c r="S26" s="11" t="n">
        <f aca="false">S19+S20+S16*Inputs!$F$21</f>
        <v>37177.5</v>
      </c>
      <c r="T26" s="11" t="n">
        <f aca="false">T19+T20+T16*Inputs!$F$21</f>
        <v>42240</v>
      </c>
      <c r="U26" s="11" t="n">
        <f aca="false">U19+U20+U16*Inputs!$F$21</f>
        <v>43627.5</v>
      </c>
      <c r="V26" s="11" t="n">
        <f aca="false">V19+V20+V16*Inputs!$F$21</f>
        <v>48690</v>
      </c>
      <c r="W26" s="11" t="n">
        <f aca="false">W19+W20+W16*Inputs!$F$21</f>
        <v>49290</v>
      </c>
      <c r="X26" s="11" t="n">
        <f aca="false">X19+X20+X16*Inputs!$F$21</f>
        <v>54352.5</v>
      </c>
      <c r="Y26" s="11" t="n">
        <f aca="false">Y19+Y20+Y16*Inputs!$F$21</f>
        <v>58627.5</v>
      </c>
      <c r="Z26" s="11" t="n">
        <f aca="false">Z19+Z20+Z16*Inputs!$F$21</f>
        <v>63090</v>
      </c>
      <c r="AA26" s="11" t="n">
        <f aca="false">AA19+AA20+AA16*Inputs!$F$21</f>
        <v>70390.125</v>
      </c>
      <c r="AB26" s="11" t="n">
        <f aca="false">AB19+AB20+AB16*Inputs!$F$21</f>
        <v>75675.75</v>
      </c>
      <c r="AC26" s="11" t="n">
        <f aca="false">AC19+AC20+AC16*Inputs!$F$21</f>
        <v>76502.625</v>
      </c>
      <c r="AD26" s="11" t="n">
        <f aca="false">AD19+AD20+AD16*Inputs!$F$21</f>
        <v>81788.25</v>
      </c>
      <c r="AE26" s="11" t="n">
        <f aca="false">AE19+AE20+AE16*Inputs!$F$21</f>
        <v>85647</v>
      </c>
      <c r="AF26" s="11" t="n">
        <f aca="false">AF19+AF20+AF16*Inputs!$F$21</f>
        <v>90932.625</v>
      </c>
      <c r="AG26" s="11" t="n">
        <f aca="false">AG19+AG20+AG16*Inputs!$F$21</f>
        <v>95618.25</v>
      </c>
      <c r="AH26" s="11" t="n">
        <f aca="false">AH19+AH20+AH16*Inputs!$F$21</f>
        <v>100903.875</v>
      </c>
      <c r="AI26" s="11" t="n">
        <f aca="false">AI19+AI20+AI16*Inputs!$F$21</f>
        <v>101730.75</v>
      </c>
      <c r="AJ26" s="11" t="n">
        <f aca="false">AJ19+AJ20+AJ16*Inputs!$F$21</f>
        <v>107016.375</v>
      </c>
      <c r="AK26" s="11" t="n">
        <f aca="false">AK19+AK20+AK16*Inputs!$F$21</f>
        <v>110875.125</v>
      </c>
      <c r="AL26" s="11" t="n">
        <f aca="false">AL19+AL20+AL16*Inputs!$F$21</f>
        <v>116160.75</v>
      </c>
    </row>
    <row r="27" customFormat="false" ht="15" hidden="false" customHeight="false" outlineLevel="0" collapsed="false">
      <c r="A27" s="14" t="s">
        <v>209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</row>
    <row r="28" customFormat="false" ht="15" hidden="false" customHeight="false" outlineLevel="0" collapsed="false">
      <c r="A28" s="2" t="s">
        <v>210</v>
      </c>
      <c r="B28" s="4"/>
      <c r="C28" s="11" t="n">
        <f aca="false">C21*(1-Inputs!$F$23)+C19*(1-Inputs!$F$24)+C20*(1-Inputs!$F$25)+C22*(1-Inputs!$F$26)+C23*(1-Inputs!$F$27)+C24*(1-Inputs!$F$28)</f>
        <v>4500</v>
      </c>
      <c r="D28" s="11" t="n">
        <f aca="false">D21*(1-Inputs!$F$23)+D19*(1-Inputs!$F$24)+D20*(1-Inputs!$F$25)+D22*(1-Inputs!$F$26)+D23*(1-Inputs!$F$27)+D24*(1-Inputs!$F$28)</f>
        <v>1000</v>
      </c>
      <c r="E28" s="11" t="n">
        <f aca="false">E21*(1-Inputs!$F$23)+E19*(1-Inputs!$F$24)+E20*(1-Inputs!$F$25)+E22*(1-Inputs!$F$26)+E23*(1-Inputs!$F$27)+E24*(1-Inputs!$F$28)</f>
        <v>5620</v>
      </c>
      <c r="F28" s="11" t="n">
        <f aca="false">F21*(1-Inputs!$F$23)+F19*(1-Inputs!$F$24)+F20*(1-Inputs!$F$25)+F22*(1-Inputs!$F$26)+F23*(1-Inputs!$F$27)+F24*(1-Inputs!$F$28)</f>
        <v>2380</v>
      </c>
      <c r="G28" s="11" t="n">
        <f aca="false">G21*(1-Inputs!$F$23)+G19*(1-Inputs!$F$24)+G20*(1-Inputs!$F$25)+G22*(1-Inputs!$F$26)+G23*(1-Inputs!$F$27)+G24*(1-Inputs!$F$28)</f>
        <v>8125</v>
      </c>
      <c r="H28" s="11" t="n">
        <f aca="false">H21*(1-Inputs!$F$23)+H19*(1-Inputs!$F$24)+H20*(1-Inputs!$F$25)+H22*(1-Inputs!$F$26)+H23*(1-Inputs!$F$27)+H24*(1-Inputs!$F$28)</f>
        <v>3482.5</v>
      </c>
      <c r="I28" s="11" t="n">
        <f aca="false">I21*(1-Inputs!$F$23)+I19*(1-Inputs!$F$24)+I20*(1-Inputs!$F$25)+I22*(1-Inputs!$F$26)+I23*(1-Inputs!$F$27)+I24*(1-Inputs!$F$28)</f>
        <v>8357.5</v>
      </c>
      <c r="J28" s="11" t="n">
        <f aca="false">J21*(1-Inputs!$F$23)+J19*(1-Inputs!$F$24)+J20*(1-Inputs!$F$25)+J22*(1-Inputs!$F$26)+J23*(1-Inputs!$F$27)+J24*(1-Inputs!$F$28)</f>
        <v>10927.5</v>
      </c>
      <c r="K28" s="11" t="n">
        <f aca="false">K21*(1-Inputs!$F$23)+K19*(1-Inputs!$F$24)+K20*(1-Inputs!$F$25)+K22*(1-Inputs!$F$26)+K23*(1-Inputs!$F$27)+K24*(1-Inputs!$F$28)</f>
        <v>9647.5</v>
      </c>
      <c r="L28" s="11" t="n">
        <f aca="false">L21*(1-Inputs!$F$23)+L19*(1-Inputs!$F$24)+L20*(1-Inputs!$F$25)+L22*(1-Inputs!$F$26)+L23*(1-Inputs!$F$27)+L24*(1-Inputs!$F$28)</f>
        <v>21505</v>
      </c>
      <c r="M28" s="11" t="n">
        <f aca="false">M21*(1-Inputs!$F$23)+M19*(1-Inputs!$F$24)+M20*(1-Inputs!$F$25)+M22*(1-Inputs!$F$26)+M23*(1-Inputs!$F$27)+M24*(1-Inputs!$F$28)</f>
        <v>10930</v>
      </c>
      <c r="N28" s="11" t="n">
        <f aca="false">N21*(1-Inputs!$F$23)+N19*(1-Inputs!$F$24)+N20*(1-Inputs!$F$25)+N22*(1-Inputs!$F$26)+N23*(1-Inputs!$F$27)+N24*(1-Inputs!$F$28)</f>
        <v>11100</v>
      </c>
      <c r="O28" s="11" t="n">
        <f aca="false">O21*(1-Inputs!$F$23)+O19*(1-Inputs!$F$24)+O20*(1-Inputs!$F$25)+O22*(1-Inputs!$F$26)+O23*(1-Inputs!$F$27)+O24*(1-Inputs!$F$28)</f>
        <v>13546.375</v>
      </c>
      <c r="P28" s="11" t="n">
        <f aca="false">P21*(1-Inputs!$F$23)+P19*(1-Inputs!$F$24)+P20*(1-Inputs!$F$25)+P22*(1-Inputs!$F$26)+P23*(1-Inputs!$F$27)+P24*(1-Inputs!$F$28)</f>
        <v>13784.5</v>
      </c>
      <c r="Q28" s="11" t="n">
        <f aca="false">Q21*(1-Inputs!$F$23)+Q19*(1-Inputs!$F$24)+Q20*(1-Inputs!$F$25)+Q22*(1-Inputs!$F$26)+Q23*(1-Inputs!$F$27)+Q24*(1-Inputs!$F$28)</f>
        <v>19647.625</v>
      </c>
      <c r="R28" s="11" t="n">
        <f aca="false">R21*(1-Inputs!$F$23)+R19*(1-Inputs!$F$24)+R20*(1-Inputs!$F$25)+R22*(1-Inputs!$F$26)+R23*(1-Inputs!$F$27)+R24*(1-Inputs!$F$28)</f>
        <v>23995.125</v>
      </c>
      <c r="S28" s="11" t="n">
        <f aca="false">S21*(1-Inputs!$F$23)+S19*(1-Inputs!$F$24)+S20*(1-Inputs!$F$25)+S22*(1-Inputs!$F$26)+S23*(1-Inputs!$F$27)+S24*(1-Inputs!$F$28)</f>
        <v>22092.625</v>
      </c>
      <c r="T28" s="11" t="n">
        <f aca="false">T21*(1-Inputs!$F$23)+T19*(1-Inputs!$F$24)+T20*(1-Inputs!$F$25)+T22*(1-Inputs!$F$26)+T23*(1-Inputs!$F$27)+T24*(1-Inputs!$F$28)</f>
        <v>12183.25</v>
      </c>
      <c r="U28" s="11" t="n">
        <f aca="false">U21*(1-Inputs!$F$23)+U19*(1-Inputs!$F$24)+U20*(1-Inputs!$F$25)+U22*(1-Inputs!$F$26)+U23*(1-Inputs!$F$27)+U24*(1-Inputs!$F$28)</f>
        <v>30671.375</v>
      </c>
      <c r="V28" s="11" t="n">
        <f aca="false">V21*(1-Inputs!$F$23)+V19*(1-Inputs!$F$24)+V20*(1-Inputs!$F$25)+V22*(1-Inputs!$F$26)+V23*(1-Inputs!$F$27)+V24*(1-Inputs!$F$28)</f>
        <v>19387</v>
      </c>
      <c r="W28" s="11" t="n">
        <f aca="false">W21*(1-Inputs!$F$23)+W19*(1-Inputs!$F$24)+W20*(1-Inputs!$F$25)+W22*(1-Inputs!$F$26)+W23*(1-Inputs!$F$27)+W24*(1-Inputs!$F$28)</f>
        <v>25132</v>
      </c>
      <c r="X28" s="11" t="n">
        <f aca="false">X21*(1-Inputs!$F$23)+X19*(1-Inputs!$F$24)+X20*(1-Inputs!$F$25)+X22*(1-Inputs!$F$26)+X23*(1-Inputs!$F$27)+X24*(1-Inputs!$F$28)</f>
        <v>36972.625</v>
      </c>
      <c r="Y28" s="11" t="n">
        <f aca="false">Y21*(1-Inputs!$F$23)+Y19*(1-Inputs!$F$24)+Y20*(1-Inputs!$F$25)+Y22*(1-Inputs!$F$26)+Y23*(1-Inputs!$F$27)+Y24*(1-Inputs!$F$28)</f>
        <v>26695.125</v>
      </c>
      <c r="Z28" s="11" t="n">
        <f aca="false">Z21*(1-Inputs!$F$23)+Z19*(1-Inputs!$F$24)+Z20*(1-Inputs!$F$25)+Z22*(1-Inputs!$F$26)+Z23*(1-Inputs!$F$27)+Z24*(1-Inputs!$F$28)</f>
        <v>22290.75</v>
      </c>
      <c r="AA28" s="11" t="n">
        <f aca="false">AA21*(1-Inputs!$F$23)+AA19*(1-Inputs!$F$24)+AA20*(1-Inputs!$F$25)+AA22*(1-Inputs!$F$26)+AA23*(1-Inputs!$F$27)+AA24*(1-Inputs!$F$28)</f>
        <v>30922.69375</v>
      </c>
      <c r="AB28" s="11" t="n">
        <f aca="false">AB21*(1-Inputs!$F$23)+AB19*(1-Inputs!$F$24)+AB20*(1-Inputs!$F$25)+AB22*(1-Inputs!$F$26)+AB23*(1-Inputs!$F$27)+AB24*(1-Inputs!$F$28)</f>
        <v>25699.35</v>
      </c>
      <c r="AC28" s="11" t="n">
        <f aca="false">AC21*(1-Inputs!$F$23)+AC19*(1-Inputs!$F$24)+AC20*(1-Inputs!$F$25)+AC22*(1-Inputs!$F$26)+AC23*(1-Inputs!$F$27)+AC24*(1-Inputs!$F$28)</f>
        <v>42948.38125</v>
      </c>
      <c r="AD28" s="11" t="n">
        <f aca="false">AD21*(1-Inputs!$F$23)+AD19*(1-Inputs!$F$24)+AD20*(1-Inputs!$F$25)+AD22*(1-Inputs!$F$26)+AD23*(1-Inputs!$F$27)+AD24*(1-Inputs!$F$28)</f>
        <v>32850.0375</v>
      </c>
      <c r="AE28" s="11" t="n">
        <f aca="false">AE21*(1-Inputs!$F$23)+AE19*(1-Inputs!$F$24)+AE20*(1-Inputs!$F$25)+AE22*(1-Inputs!$F$26)+AE23*(1-Inputs!$F$27)+AE24*(1-Inputs!$F$28)</f>
        <v>35007.6625</v>
      </c>
      <c r="AF28" s="11" t="n">
        <f aca="false">AF21*(1-Inputs!$F$23)+AF19*(1-Inputs!$F$24)+AF20*(1-Inputs!$F$25)+AF22*(1-Inputs!$F$26)+AF23*(1-Inputs!$F$27)+AF24*(1-Inputs!$F$28)</f>
        <v>43784.31875</v>
      </c>
      <c r="AG28" s="11" t="n">
        <f aca="false">AG21*(1-Inputs!$F$23)+AG19*(1-Inputs!$F$24)+AG20*(1-Inputs!$F$25)+AG22*(1-Inputs!$F$26)+AG23*(1-Inputs!$F$27)+AG24*(1-Inputs!$F$28)</f>
        <v>37690.975</v>
      </c>
      <c r="AH28" s="11" t="n">
        <f aca="false">AH21*(1-Inputs!$F$23)+AH19*(1-Inputs!$F$24)+AH20*(1-Inputs!$F$25)+AH22*(1-Inputs!$F$26)+AH23*(1-Inputs!$F$27)+AH24*(1-Inputs!$F$28)</f>
        <v>32467.63125</v>
      </c>
      <c r="AI28" s="11" t="n">
        <f aca="false">AI21*(1-Inputs!$F$23)+AI19*(1-Inputs!$F$24)+AI20*(1-Inputs!$F$25)+AI22*(1-Inputs!$F$26)+AI23*(1-Inputs!$F$27)+AI24*(1-Inputs!$F$28)</f>
        <v>49716.6625</v>
      </c>
      <c r="AJ28" s="11" t="n">
        <f aca="false">AJ21*(1-Inputs!$F$23)+AJ19*(1-Inputs!$F$24)+AJ20*(1-Inputs!$F$25)+AJ22*(1-Inputs!$F$26)+AJ23*(1-Inputs!$F$27)+AJ24*(1-Inputs!$F$28)</f>
        <v>39618.31875</v>
      </c>
      <c r="AK28" s="11" t="n">
        <f aca="false">AK21*(1-Inputs!$F$23)+AK19*(1-Inputs!$F$24)+AK20*(1-Inputs!$F$25)+AK22*(1-Inputs!$F$26)+AK23*(1-Inputs!$F$27)+AK24*(1-Inputs!$F$28)</f>
        <v>41775.94375</v>
      </c>
      <c r="AL28" s="11" t="n">
        <f aca="false">AL21*(1-Inputs!$F$23)+AL19*(1-Inputs!$F$24)+AL20*(1-Inputs!$F$25)+AL22*(1-Inputs!$F$26)+AL23*(1-Inputs!$F$27)+AL24*(1-Inputs!$F$28)</f>
        <v>42177.6</v>
      </c>
    </row>
    <row r="29" customFormat="false" ht="15" hidden="false" customHeight="false" outlineLevel="0" collapsed="false">
      <c r="A29" s="3" t="s">
        <v>211</v>
      </c>
      <c r="B29" s="4"/>
      <c r="C29" s="11" t="n">
        <f aca="false">C25-C28</f>
        <v>5500</v>
      </c>
      <c r="D29" s="11" t="n">
        <f aca="false">D25-D28</f>
        <v>4000</v>
      </c>
      <c r="E29" s="11" t="n">
        <f aca="false">E25-E28</f>
        <v>12220</v>
      </c>
      <c r="F29" s="11" t="n">
        <f aca="false">F25-F28</f>
        <v>7620</v>
      </c>
      <c r="G29" s="11" t="n">
        <f aca="false">G25-G28</f>
        <v>14975</v>
      </c>
      <c r="H29" s="11" t="n">
        <f aca="false">H25-H28</f>
        <v>8467.5</v>
      </c>
      <c r="I29" s="11" t="n">
        <f aca="false">I25-I28</f>
        <v>18332.5</v>
      </c>
      <c r="J29" s="11" t="n">
        <f aca="false">J25-J28</f>
        <v>21622.5</v>
      </c>
      <c r="K29" s="11" t="n">
        <f aca="false">K25-K28</f>
        <v>19502.5</v>
      </c>
      <c r="L29" s="11" t="n">
        <f aca="false">L25-L28</f>
        <v>38735</v>
      </c>
      <c r="M29" s="11" t="n">
        <f aca="false">M25-M28</f>
        <v>25310</v>
      </c>
      <c r="N29" s="11" t="n">
        <f aca="false">N25-N28</f>
        <v>24240</v>
      </c>
      <c r="O29" s="11" t="n">
        <f aca="false">O25-O28</f>
        <v>29806.125</v>
      </c>
      <c r="P29" s="11" t="n">
        <f aca="false">P25-P28</f>
        <v>30955.5</v>
      </c>
      <c r="Q29" s="11" t="n">
        <f aca="false">Q25-Q28</f>
        <v>41219.875</v>
      </c>
      <c r="R29" s="11" t="n">
        <f aca="false">R25-R28</f>
        <v>53647.375</v>
      </c>
      <c r="S29" s="11" t="n">
        <f aca="false">S25-S28</f>
        <v>47324.875</v>
      </c>
      <c r="T29" s="11" t="n">
        <f aca="false">T25-T28</f>
        <v>35056.75</v>
      </c>
      <c r="U29" s="11" t="n">
        <f aca="false">U25-U28</f>
        <v>65196.125</v>
      </c>
      <c r="V29" s="11" t="n">
        <f aca="false">V25-V28</f>
        <v>46803</v>
      </c>
      <c r="W29" s="11" t="n">
        <f aca="false">W25-W28</f>
        <v>56398</v>
      </c>
      <c r="X29" s="11" t="n">
        <f aca="false">X25-X28</f>
        <v>79619.875</v>
      </c>
      <c r="Y29" s="11" t="n">
        <f aca="false">Y25-Y28</f>
        <v>59172.375</v>
      </c>
      <c r="Z29" s="11" t="n">
        <f aca="false">Z25-Z28</f>
        <v>55539.25</v>
      </c>
      <c r="AA29" s="11" t="n">
        <f aca="false">AA25-AA28</f>
        <v>71707.43125</v>
      </c>
      <c r="AB29" s="11" t="n">
        <f aca="false">AB25-AB28</f>
        <v>62476.4</v>
      </c>
      <c r="AC29" s="11" t="n">
        <f aca="false">AC25-AC28</f>
        <v>95794.24375</v>
      </c>
      <c r="AD29" s="11" t="n">
        <f aca="false">AD25-AD28</f>
        <v>76178.2125</v>
      </c>
      <c r="AE29" s="11" t="n">
        <f aca="false">AE25-AE28</f>
        <v>82879.3375</v>
      </c>
      <c r="AF29" s="11" t="n">
        <f aca="false">AF25-AF28</f>
        <v>101888.30625</v>
      </c>
      <c r="AG29" s="11" t="n">
        <f aca="false">AG25-AG28</f>
        <v>90167.275</v>
      </c>
      <c r="AH29" s="11" t="n">
        <f aca="false">AH25-AH28</f>
        <v>80936.24375</v>
      </c>
      <c r="AI29" s="11" t="n">
        <f aca="false">AI25-AI28</f>
        <v>114254.0875</v>
      </c>
      <c r="AJ29" s="11" t="n">
        <f aca="false">AJ25-AJ28</f>
        <v>94638.05625</v>
      </c>
      <c r="AK29" s="11" t="n">
        <f aca="false">AK25-AK28</f>
        <v>101339.18125</v>
      </c>
      <c r="AL29" s="11" t="n">
        <f aca="false">AL25-AL28</f>
        <v>101223.15</v>
      </c>
    </row>
    <row r="30" customFormat="false" ht="15" hidden="false" customHeight="false" outlineLevel="0" collapsed="false">
      <c r="A30" s="14" t="s">
        <v>212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 customFormat="false" ht="15" hidden="false" customHeight="false" outlineLevel="0" collapsed="false">
      <c r="A31" s="2" t="s">
        <v>213</v>
      </c>
      <c r="B31" s="4"/>
      <c r="C31" s="11" t="n">
        <f aca="false">CHOOSE(C$3,Inputs!$F$30,Inputs!$F$31,Inputs!$F$32)/12</f>
        <v>5833.33333333333</v>
      </c>
      <c r="D31" s="11" t="n">
        <f aca="false">CHOOSE(D$3,Inputs!$F$30,Inputs!$F$31,Inputs!$F$32)/12</f>
        <v>5833.33333333333</v>
      </c>
      <c r="E31" s="11" t="n">
        <f aca="false">CHOOSE(E$3,Inputs!$F$30,Inputs!$F$31,Inputs!$F$32)/12</f>
        <v>5833.33333333333</v>
      </c>
      <c r="F31" s="11" t="n">
        <f aca="false">CHOOSE(F$3,Inputs!$F$30,Inputs!$F$31,Inputs!$F$32)/12</f>
        <v>5833.33333333333</v>
      </c>
      <c r="G31" s="11" t="n">
        <f aca="false">CHOOSE(G$3,Inputs!$F$30,Inputs!$F$31,Inputs!$F$32)/12</f>
        <v>5833.33333333333</v>
      </c>
      <c r="H31" s="11" t="n">
        <f aca="false">CHOOSE(H$3,Inputs!$F$30,Inputs!$F$31,Inputs!$F$32)/12</f>
        <v>5833.33333333333</v>
      </c>
      <c r="I31" s="11" t="n">
        <f aca="false">CHOOSE(I$3,Inputs!$F$30,Inputs!$F$31,Inputs!$F$32)/12</f>
        <v>5833.33333333333</v>
      </c>
      <c r="J31" s="11" t="n">
        <f aca="false">CHOOSE(J$3,Inputs!$F$30,Inputs!$F$31,Inputs!$F$32)/12</f>
        <v>5833.33333333333</v>
      </c>
      <c r="K31" s="11" t="n">
        <f aca="false">CHOOSE(K$3,Inputs!$F$30,Inputs!$F$31,Inputs!$F$32)/12</f>
        <v>5833.33333333333</v>
      </c>
      <c r="L31" s="11" t="n">
        <f aca="false">CHOOSE(L$3,Inputs!$F$30,Inputs!$F$31,Inputs!$F$32)/12</f>
        <v>5833.33333333333</v>
      </c>
      <c r="M31" s="11" t="n">
        <f aca="false">CHOOSE(M$3,Inputs!$F$30,Inputs!$F$31,Inputs!$F$32)/12</f>
        <v>5833.33333333333</v>
      </c>
      <c r="N31" s="11" t="n">
        <f aca="false">CHOOSE(N$3,Inputs!$F$30,Inputs!$F$31,Inputs!$F$32)/12</f>
        <v>5833.33333333333</v>
      </c>
      <c r="O31" s="11" t="n">
        <f aca="false">CHOOSE(O$3,Inputs!$F$30,Inputs!$F$31,Inputs!$F$32)/12</f>
        <v>8333.33333333333</v>
      </c>
      <c r="P31" s="11" t="n">
        <f aca="false">CHOOSE(P$3,Inputs!$F$30,Inputs!$F$31,Inputs!$F$32)/12</f>
        <v>8333.33333333333</v>
      </c>
      <c r="Q31" s="11" t="n">
        <f aca="false">CHOOSE(Q$3,Inputs!$F$30,Inputs!$F$31,Inputs!$F$32)/12</f>
        <v>8333.33333333333</v>
      </c>
      <c r="R31" s="11" t="n">
        <f aca="false">CHOOSE(R$3,Inputs!$F$30,Inputs!$F$31,Inputs!$F$32)/12</f>
        <v>8333.33333333333</v>
      </c>
      <c r="S31" s="11" t="n">
        <f aca="false">CHOOSE(S$3,Inputs!$F$30,Inputs!$F$31,Inputs!$F$32)/12</f>
        <v>8333.33333333333</v>
      </c>
      <c r="T31" s="11" t="n">
        <f aca="false">CHOOSE(T$3,Inputs!$F$30,Inputs!$F$31,Inputs!$F$32)/12</f>
        <v>8333.33333333333</v>
      </c>
      <c r="U31" s="11" t="n">
        <f aca="false">CHOOSE(U$3,Inputs!$F$30,Inputs!$F$31,Inputs!$F$32)/12</f>
        <v>8333.33333333333</v>
      </c>
      <c r="V31" s="11" t="n">
        <f aca="false">CHOOSE(V$3,Inputs!$F$30,Inputs!$F$31,Inputs!$F$32)/12</f>
        <v>8333.33333333333</v>
      </c>
      <c r="W31" s="11" t="n">
        <f aca="false">CHOOSE(W$3,Inputs!$F$30,Inputs!$F$31,Inputs!$F$32)/12</f>
        <v>8333.33333333333</v>
      </c>
      <c r="X31" s="11" t="n">
        <f aca="false">CHOOSE(X$3,Inputs!$F$30,Inputs!$F$31,Inputs!$F$32)/12</f>
        <v>8333.33333333333</v>
      </c>
      <c r="Y31" s="11" t="n">
        <f aca="false">CHOOSE(Y$3,Inputs!$F$30,Inputs!$F$31,Inputs!$F$32)/12</f>
        <v>8333.33333333333</v>
      </c>
      <c r="Z31" s="11" t="n">
        <f aca="false">CHOOSE(Z$3,Inputs!$F$30,Inputs!$F$31,Inputs!$F$32)/12</f>
        <v>8333.33333333333</v>
      </c>
      <c r="AA31" s="11" t="n">
        <f aca="false">CHOOSE(AA$3,Inputs!$F$30,Inputs!$F$31,Inputs!$F$32)/12</f>
        <v>10833.3333333333</v>
      </c>
      <c r="AB31" s="11" t="n">
        <f aca="false">CHOOSE(AB$3,Inputs!$F$30,Inputs!$F$31,Inputs!$F$32)/12</f>
        <v>10833.3333333333</v>
      </c>
      <c r="AC31" s="11" t="n">
        <f aca="false">CHOOSE(AC$3,Inputs!$F$30,Inputs!$F$31,Inputs!$F$32)/12</f>
        <v>10833.3333333333</v>
      </c>
      <c r="AD31" s="11" t="n">
        <f aca="false">CHOOSE(AD$3,Inputs!$F$30,Inputs!$F$31,Inputs!$F$32)/12</f>
        <v>10833.3333333333</v>
      </c>
      <c r="AE31" s="11" t="n">
        <f aca="false">CHOOSE(AE$3,Inputs!$F$30,Inputs!$F$31,Inputs!$F$32)/12</f>
        <v>10833.3333333333</v>
      </c>
      <c r="AF31" s="11" t="n">
        <f aca="false">CHOOSE(AF$3,Inputs!$F$30,Inputs!$F$31,Inputs!$F$32)/12</f>
        <v>10833.3333333333</v>
      </c>
      <c r="AG31" s="11" t="n">
        <f aca="false">CHOOSE(AG$3,Inputs!$F$30,Inputs!$F$31,Inputs!$F$32)/12</f>
        <v>10833.3333333333</v>
      </c>
      <c r="AH31" s="11" t="n">
        <f aca="false">CHOOSE(AH$3,Inputs!$F$30,Inputs!$F$31,Inputs!$F$32)/12</f>
        <v>10833.3333333333</v>
      </c>
      <c r="AI31" s="11" t="n">
        <f aca="false">CHOOSE(AI$3,Inputs!$F$30,Inputs!$F$31,Inputs!$F$32)/12</f>
        <v>10833.3333333333</v>
      </c>
      <c r="AJ31" s="11" t="n">
        <f aca="false">CHOOSE(AJ$3,Inputs!$F$30,Inputs!$F$31,Inputs!$F$32)/12</f>
        <v>10833.3333333333</v>
      </c>
      <c r="AK31" s="11" t="n">
        <f aca="false">CHOOSE(AK$3,Inputs!$F$30,Inputs!$F$31,Inputs!$F$32)/12</f>
        <v>10833.3333333333</v>
      </c>
      <c r="AL31" s="11" t="n">
        <f aca="false">CHOOSE(AL$3,Inputs!$F$30,Inputs!$F$31,Inputs!$F$32)/12</f>
        <v>10833.3333333333</v>
      </c>
    </row>
    <row r="32" customFormat="false" ht="15" hidden="false" customHeight="false" outlineLevel="0" collapsed="false">
      <c r="A32" s="2" t="s">
        <v>214</v>
      </c>
      <c r="B32" s="4"/>
      <c r="C32" s="11" t="n">
        <f aca="false">C31*Inputs!$F$33</f>
        <v>446.25</v>
      </c>
      <c r="D32" s="11" t="n">
        <f aca="false">D31*Inputs!$F$33</f>
        <v>446.25</v>
      </c>
      <c r="E32" s="11" t="n">
        <f aca="false">E31*Inputs!$F$33</f>
        <v>446.25</v>
      </c>
      <c r="F32" s="11" t="n">
        <f aca="false">F31*Inputs!$F$33</f>
        <v>446.25</v>
      </c>
      <c r="G32" s="11" t="n">
        <f aca="false">G31*Inputs!$F$33</f>
        <v>446.25</v>
      </c>
      <c r="H32" s="11" t="n">
        <f aca="false">H31*Inputs!$F$33</f>
        <v>446.25</v>
      </c>
      <c r="I32" s="11" t="n">
        <f aca="false">I31*Inputs!$F$33</f>
        <v>446.25</v>
      </c>
      <c r="J32" s="11" t="n">
        <f aca="false">J31*Inputs!$F$33</f>
        <v>446.25</v>
      </c>
      <c r="K32" s="11" t="n">
        <f aca="false">K31*Inputs!$F$33</f>
        <v>446.25</v>
      </c>
      <c r="L32" s="11" t="n">
        <f aca="false">L31*Inputs!$F$33</f>
        <v>446.25</v>
      </c>
      <c r="M32" s="11" t="n">
        <f aca="false">M31*Inputs!$F$33</f>
        <v>446.25</v>
      </c>
      <c r="N32" s="11" t="n">
        <f aca="false">N31*Inputs!$F$33</f>
        <v>446.25</v>
      </c>
      <c r="O32" s="11" t="n">
        <f aca="false">O31*Inputs!$F$33</f>
        <v>637.5</v>
      </c>
      <c r="P32" s="11" t="n">
        <f aca="false">P31*Inputs!$F$33</f>
        <v>637.5</v>
      </c>
      <c r="Q32" s="11" t="n">
        <f aca="false">Q31*Inputs!$F$33</f>
        <v>637.5</v>
      </c>
      <c r="R32" s="11" t="n">
        <f aca="false">R31*Inputs!$F$33</f>
        <v>637.5</v>
      </c>
      <c r="S32" s="11" t="n">
        <f aca="false">S31*Inputs!$F$33</f>
        <v>637.5</v>
      </c>
      <c r="T32" s="11" t="n">
        <f aca="false">T31*Inputs!$F$33</f>
        <v>637.5</v>
      </c>
      <c r="U32" s="11" t="n">
        <f aca="false">U31*Inputs!$F$33</f>
        <v>637.5</v>
      </c>
      <c r="V32" s="11" t="n">
        <f aca="false">V31*Inputs!$F$33</f>
        <v>637.5</v>
      </c>
      <c r="W32" s="11" t="n">
        <f aca="false">W31*Inputs!$F$33</f>
        <v>637.5</v>
      </c>
      <c r="X32" s="11" t="n">
        <f aca="false">X31*Inputs!$F$33</f>
        <v>637.5</v>
      </c>
      <c r="Y32" s="11" t="n">
        <f aca="false">Y31*Inputs!$F$33</f>
        <v>637.5</v>
      </c>
      <c r="Z32" s="11" t="n">
        <f aca="false">Z31*Inputs!$F$33</f>
        <v>637.5</v>
      </c>
      <c r="AA32" s="11" t="n">
        <f aca="false">AA31*Inputs!$F$33</f>
        <v>828.75</v>
      </c>
      <c r="AB32" s="11" t="n">
        <f aca="false">AB31*Inputs!$F$33</f>
        <v>828.75</v>
      </c>
      <c r="AC32" s="11" t="n">
        <f aca="false">AC31*Inputs!$F$33</f>
        <v>828.75</v>
      </c>
      <c r="AD32" s="11" t="n">
        <f aca="false">AD31*Inputs!$F$33</f>
        <v>828.75</v>
      </c>
      <c r="AE32" s="11" t="n">
        <f aca="false">AE31*Inputs!$F$33</f>
        <v>828.75</v>
      </c>
      <c r="AF32" s="11" t="n">
        <f aca="false">AF31*Inputs!$F$33</f>
        <v>828.75</v>
      </c>
      <c r="AG32" s="11" t="n">
        <f aca="false">AG31*Inputs!$F$33</f>
        <v>828.75</v>
      </c>
      <c r="AH32" s="11" t="n">
        <f aca="false">AH31*Inputs!$F$33</f>
        <v>828.75</v>
      </c>
      <c r="AI32" s="11" t="n">
        <f aca="false">AI31*Inputs!$F$33</f>
        <v>828.75</v>
      </c>
      <c r="AJ32" s="11" t="n">
        <f aca="false">AJ31*Inputs!$F$33</f>
        <v>828.75</v>
      </c>
      <c r="AK32" s="11" t="n">
        <f aca="false">AK31*Inputs!$F$33</f>
        <v>828.75</v>
      </c>
      <c r="AL32" s="11" t="n">
        <f aca="false">AL31*Inputs!$F$33</f>
        <v>828.75</v>
      </c>
    </row>
    <row r="33" customFormat="false" ht="15" hidden="false" customHeight="false" outlineLevel="0" collapsed="false">
      <c r="A33" s="2" t="s">
        <v>215</v>
      </c>
      <c r="B33" s="4"/>
      <c r="C33" s="11" t="n">
        <f aca="false">IF(C$2&gt;=Inputs!$F$34,Inputs!$F$35/12,0)+IF(C$2&gt;=Inputs!$F$36,Inputs!$F$37/12,0)</f>
        <v>0</v>
      </c>
      <c r="D33" s="11" t="n">
        <f aca="false">IF(D$2&gt;=Inputs!$F$34,Inputs!$F$35/12,0)+IF(D$2&gt;=Inputs!$F$36,Inputs!$F$37/12,0)</f>
        <v>0</v>
      </c>
      <c r="E33" s="11" t="n">
        <f aca="false">IF(E$2&gt;=Inputs!$F$34,Inputs!$F$35/12,0)+IF(E$2&gt;=Inputs!$F$36,Inputs!$F$37/12,0)</f>
        <v>0</v>
      </c>
      <c r="F33" s="11" t="n">
        <f aca="false">IF(F$2&gt;=Inputs!$F$34,Inputs!$F$35/12,0)+IF(F$2&gt;=Inputs!$F$36,Inputs!$F$37/12,0)</f>
        <v>0</v>
      </c>
      <c r="G33" s="11" t="n">
        <f aca="false">IF(G$2&gt;=Inputs!$F$34,Inputs!$F$35/12,0)+IF(G$2&gt;=Inputs!$F$36,Inputs!$F$37/12,0)</f>
        <v>0</v>
      </c>
      <c r="H33" s="11" t="n">
        <f aca="false">IF(H$2&gt;=Inputs!$F$34,Inputs!$F$35/12,0)+IF(H$2&gt;=Inputs!$F$36,Inputs!$F$37/12,0)</f>
        <v>0</v>
      </c>
      <c r="I33" s="11" t="n">
        <f aca="false">IF(I$2&gt;=Inputs!$F$34,Inputs!$F$35/12,0)+IF(I$2&gt;=Inputs!$F$36,Inputs!$F$37/12,0)</f>
        <v>0</v>
      </c>
      <c r="J33" s="11" t="n">
        <f aca="false">IF(J$2&gt;=Inputs!$F$34,Inputs!$F$35/12,0)+IF(J$2&gt;=Inputs!$F$36,Inputs!$F$37/12,0)</f>
        <v>0</v>
      </c>
      <c r="K33" s="11" t="n">
        <f aca="false">IF(K$2&gt;=Inputs!$F$34,Inputs!$F$35/12,0)+IF(K$2&gt;=Inputs!$F$36,Inputs!$F$37/12,0)</f>
        <v>0</v>
      </c>
      <c r="L33" s="11" t="n">
        <f aca="false">IF(L$2&gt;=Inputs!$F$34,Inputs!$F$35/12,0)+IF(L$2&gt;=Inputs!$F$36,Inputs!$F$37/12,0)</f>
        <v>0</v>
      </c>
      <c r="M33" s="11" t="n">
        <f aca="false">IF(M$2&gt;=Inputs!$F$34,Inputs!$F$35/12,0)+IF(M$2&gt;=Inputs!$F$36,Inputs!$F$37/12,0)</f>
        <v>0</v>
      </c>
      <c r="N33" s="11" t="n">
        <f aca="false">IF(N$2&gt;=Inputs!$F$34,Inputs!$F$35/12,0)+IF(N$2&gt;=Inputs!$F$36,Inputs!$F$37/12,0)</f>
        <v>0</v>
      </c>
      <c r="O33" s="11" t="n">
        <f aca="false">IF(O$2&gt;=Inputs!$F$34,Inputs!$F$35/12,0)+IF(O$2&gt;=Inputs!$F$36,Inputs!$F$37/12,0)</f>
        <v>0</v>
      </c>
      <c r="P33" s="11" t="n">
        <f aca="false">IF(P$2&gt;=Inputs!$F$34,Inputs!$F$35/12,0)+IF(P$2&gt;=Inputs!$F$36,Inputs!$F$37/12,0)</f>
        <v>7291.66666666667</v>
      </c>
      <c r="Q33" s="11" t="n">
        <f aca="false">IF(Q$2&gt;=Inputs!$F$34,Inputs!$F$35/12,0)+IF(Q$2&gt;=Inputs!$F$36,Inputs!$F$37/12,0)</f>
        <v>7291.66666666667</v>
      </c>
      <c r="R33" s="11" t="n">
        <f aca="false">IF(R$2&gt;=Inputs!$F$34,Inputs!$F$35/12,0)+IF(R$2&gt;=Inputs!$F$36,Inputs!$F$37/12,0)</f>
        <v>7291.66666666667</v>
      </c>
      <c r="S33" s="11" t="n">
        <f aca="false">IF(S$2&gt;=Inputs!$F$34,Inputs!$F$35/12,0)+IF(S$2&gt;=Inputs!$F$36,Inputs!$F$37/12,0)</f>
        <v>7291.66666666667</v>
      </c>
      <c r="T33" s="11" t="n">
        <f aca="false">IF(T$2&gt;=Inputs!$F$34,Inputs!$F$35/12,0)+IF(T$2&gt;=Inputs!$F$36,Inputs!$F$37/12,0)</f>
        <v>7291.66666666667</v>
      </c>
      <c r="U33" s="11" t="n">
        <f aca="false">IF(U$2&gt;=Inputs!$F$34,Inputs!$F$35/12,0)+IF(U$2&gt;=Inputs!$F$36,Inputs!$F$37/12,0)</f>
        <v>7291.66666666667</v>
      </c>
      <c r="V33" s="11" t="n">
        <f aca="false">IF(V$2&gt;=Inputs!$F$34,Inputs!$F$35/12,0)+IF(V$2&gt;=Inputs!$F$36,Inputs!$F$37/12,0)</f>
        <v>7291.66666666667</v>
      </c>
      <c r="W33" s="11" t="n">
        <f aca="false">IF(W$2&gt;=Inputs!$F$34,Inputs!$F$35/12,0)+IF(W$2&gt;=Inputs!$F$36,Inputs!$F$37/12,0)</f>
        <v>7291.66666666667</v>
      </c>
      <c r="X33" s="11" t="n">
        <f aca="false">IF(X$2&gt;=Inputs!$F$34,Inputs!$F$35/12,0)+IF(X$2&gt;=Inputs!$F$36,Inputs!$F$37/12,0)</f>
        <v>16041.6666666667</v>
      </c>
      <c r="Y33" s="11" t="n">
        <f aca="false">IF(Y$2&gt;=Inputs!$F$34,Inputs!$F$35/12,0)+IF(Y$2&gt;=Inputs!$F$36,Inputs!$F$37/12,0)</f>
        <v>16041.6666666667</v>
      </c>
      <c r="Z33" s="11" t="n">
        <f aca="false">IF(Z$2&gt;=Inputs!$F$34,Inputs!$F$35/12,0)+IF(Z$2&gt;=Inputs!$F$36,Inputs!$F$37/12,0)</f>
        <v>16041.6666666667</v>
      </c>
      <c r="AA33" s="11" t="n">
        <f aca="false">IF(AA$2&gt;=Inputs!$F$34,Inputs!$F$35/12,0)+IF(AA$2&gt;=Inputs!$F$36,Inputs!$F$37/12,0)</f>
        <v>16041.6666666667</v>
      </c>
      <c r="AB33" s="11" t="n">
        <f aca="false">IF(AB$2&gt;=Inputs!$F$34,Inputs!$F$35/12,0)+IF(AB$2&gt;=Inputs!$F$36,Inputs!$F$37/12,0)</f>
        <v>16041.6666666667</v>
      </c>
      <c r="AC33" s="11" t="n">
        <f aca="false">IF(AC$2&gt;=Inputs!$F$34,Inputs!$F$35/12,0)+IF(AC$2&gt;=Inputs!$F$36,Inputs!$F$37/12,0)</f>
        <v>16041.6666666667</v>
      </c>
      <c r="AD33" s="11" t="n">
        <f aca="false">IF(AD$2&gt;=Inputs!$F$34,Inputs!$F$35/12,0)+IF(AD$2&gt;=Inputs!$F$36,Inputs!$F$37/12,0)</f>
        <v>16041.6666666667</v>
      </c>
      <c r="AE33" s="11" t="n">
        <f aca="false">IF(AE$2&gt;=Inputs!$F$34,Inputs!$F$35/12,0)+IF(AE$2&gt;=Inputs!$F$36,Inputs!$F$37/12,0)</f>
        <v>16041.6666666667</v>
      </c>
      <c r="AF33" s="11" t="n">
        <f aca="false">IF(AF$2&gt;=Inputs!$F$34,Inputs!$F$35/12,0)+IF(AF$2&gt;=Inputs!$F$36,Inputs!$F$37/12,0)</f>
        <v>16041.6666666667</v>
      </c>
      <c r="AG33" s="11" t="n">
        <f aca="false">IF(AG$2&gt;=Inputs!$F$34,Inputs!$F$35/12,0)+IF(AG$2&gt;=Inputs!$F$36,Inputs!$F$37/12,0)</f>
        <v>16041.6666666667</v>
      </c>
      <c r="AH33" s="11" t="n">
        <f aca="false">IF(AH$2&gt;=Inputs!$F$34,Inputs!$F$35/12,0)+IF(AH$2&gt;=Inputs!$F$36,Inputs!$F$37/12,0)</f>
        <v>16041.6666666667</v>
      </c>
      <c r="AI33" s="11" t="n">
        <f aca="false">IF(AI$2&gt;=Inputs!$F$34,Inputs!$F$35/12,0)+IF(AI$2&gt;=Inputs!$F$36,Inputs!$F$37/12,0)</f>
        <v>16041.6666666667</v>
      </c>
      <c r="AJ33" s="11" t="n">
        <f aca="false">IF(AJ$2&gt;=Inputs!$F$34,Inputs!$F$35/12,0)+IF(AJ$2&gt;=Inputs!$F$36,Inputs!$F$37/12,0)</f>
        <v>16041.6666666667</v>
      </c>
      <c r="AK33" s="11" t="n">
        <f aca="false">IF(AK$2&gt;=Inputs!$F$34,Inputs!$F$35/12,0)+IF(AK$2&gt;=Inputs!$F$36,Inputs!$F$37/12,0)</f>
        <v>16041.6666666667</v>
      </c>
      <c r="AL33" s="11" t="n">
        <f aca="false">IF(AL$2&gt;=Inputs!$F$34,Inputs!$F$35/12,0)+IF(AL$2&gt;=Inputs!$F$36,Inputs!$F$37/12,0)</f>
        <v>16041.6666666667</v>
      </c>
    </row>
    <row r="34" customFormat="false" ht="15" hidden="false" customHeight="false" outlineLevel="0" collapsed="false">
      <c r="A34" s="2" t="s">
        <v>216</v>
      </c>
      <c r="B34" s="4"/>
      <c r="C34" s="11" t="n">
        <f aca="false">IF(AND(C$2&gt;=Inputs!$F$38,C$2&lt;Inputs!$F$34),Inputs!$F$39+Inputs!$F$40,0)</f>
        <v>0</v>
      </c>
      <c r="D34" s="11" t="n">
        <f aca="false">IF(AND(D$2&gt;=Inputs!$F$38,D$2&lt;Inputs!$F$34),Inputs!$F$39+Inputs!$F$40,0)</f>
        <v>0</v>
      </c>
      <c r="E34" s="11" t="n">
        <f aca="false">IF(AND(E$2&gt;=Inputs!$F$38,E$2&lt;Inputs!$F$34),Inputs!$F$39+Inputs!$F$40,0)</f>
        <v>0</v>
      </c>
      <c r="F34" s="11" t="n">
        <f aca="false">IF(AND(F$2&gt;=Inputs!$F$38,F$2&lt;Inputs!$F$34),Inputs!$F$39+Inputs!$F$40,0)</f>
        <v>0</v>
      </c>
      <c r="G34" s="11" t="n">
        <f aca="false">IF(AND(G$2&gt;=Inputs!$F$38,G$2&lt;Inputs!$F$34),Inputs!$F$39+Inputs!$F$40,0)</f>
        <v>0</v>
      </c>
      <c r="H34" s="11" t="n">
        <f aca="false">IF(AND(H$2&gt;=Inputs!$F$38,H$2&lt;Inputs!$F$34),Inputs!$F$39+Inputs!$F$40,0)</f>
        <v>2300</v>
      </c>
      <c r="I34" s="11" t="n">
        <f aca="false">IF(AND(I$2&gt;=Inputs!$F$38,I$2&lt;Inputs!$F$34),Inputs!$F$39+Inputs!$F$40,0)</f>
        <v>2300</v>
      </c>
      <c r="J34" s="11" t="n">
        <f aca="false">IF(AND(J$2&gt;=Inputs!$F$38,J$2&lt;Inputs!$F$34),Inputs!$F$39+Inputs!$F$40,0)</f>
        <v>2300</v>
      </c>
      <c r="K34" s="11" t="n">
        <f aca="false">IF(AND(K$2&gt;=Inputs!$F$38,K$2&lt;Inputs!$F$34),Inputs!$F$39+Inputs!$F$40,0)</f>
        <v>2300</v>
      </c>
      <c r="L34" s="11" t="n">
        <f aca="false">IF(AND(L$2&gt;=Inputs!$F$38,L$2&lt;Inputs!$F$34),Inputs!$F$39+Inputs!$F$40,0)</f>
        <v>2300</v>
      </c>
      <c r="M34" s="11" t="n">
        <f aca="false">IF(AND(M$2&gt;=Inputs!$F$38,M$2&lt;Inputs!$F$34),Inputs!$F$39+Inputs!$F$40,0)</f>
        <v>2300</v>
      </c>
      <c r="N34" s="11" t="n">
        <f aca="false">IF(AND(N$2&gt;=Inputs!$F$38,N$2&lt;Inputs!$F$34),Inputs!$F$39+Inputs!$F$40,0)</f>
        <v>2300</v>
      </c>
      <c r="O34" s="11" t="n">
        <f aca="false">IF(AND(O$2&gt;=Inputs!$F$38,O$2&lt;Inputs!$F$34),Inputs!$F$39+Inputs!$F$40,0)</f>
        <v>2300</v>
      </c>
      <c r="P34" s="11" t="n">
        <f aca="false">IF(AND(P$2&gt;=Inputs!$F$38,P$2&lt;Inputs!$F$34),Inputs!$F$39+Inputs!$F$40,0)</f>
        <v>0</v>
      </c>
      <c r="Q34" s="11" t="n">
        <f aca="false">IF(AND(Q$2&gt;=Inputs!$F$38,Q$2&lt;Inputs!$F$34),Inputs!$F$39+Inputs!$F$40,0)</f>
        <v>0</v>
      </c>
      <c r="R34" s="11" t="n">
        <f aca="false">IF(AND(R$2&gt;=Inputs!$F$38,R$2&lt;Inputs!$F$34),Inputs!$F$39+Inputs!$F$40,0)</f>
        <v>0</v>
      </c>
      <c r="S34" s="11" t="n">
        <f aca="false">IF(AND(S$2&gt;=Inputs!$F$38,S$2&lt;Inputs!$F$34),Inputs!$F$39+Inputs!$F$40,0)</f>
        <v>0</v>
      </c>
      <c r="T34" s="11" t="n">
        <f aca="false">IF(AND(T$2&gt;=Inputs!$F$38,T$2&lt;Inputs!$F$34),Inputs!$F$39+Inputs!$F$40,0)</f>
        <v>0</v>
      </c>
      <c r="U34" s="11" t="n">
        <f aca="false">IF(AND(U$2&gt;=Inputs!$F$38,U$2&lt;Inputs!$F$34),Inputs!$F$39+Inputs!$F$40,0)</f>
        <v>0</v>
      </c>
      <c r="V34" s="11" t="n">
        <f aca="false">IF(AND(V$2&gt;=Inputs!$F$38,V$2&lt;Inputs!$F$34),Inputs!$F$39+Inputs!$F$40,0)</f>
        <v>0</v>
      </c>
      <c r="W34" s="11" t="n">
        <f aca="false">IF(AND(W$2&gt;=Inputs!$F$38,W$2&lt;Inputs!$F$34),Inputs!$F$39+Inputs!$F$40,0)</f>
        <v>0</v>
      </c>
      <c r="X34" s="11" t="n">
        <f aca="false">IF(AND(X$2&gt;=Inputs!$F$38,X$2&lt;Inputs!$F$34),Inputs!$F$39+Inputs!$F$40,0)</f>
        <v>0</v>
      </c>
      <c r="Y34" s="11" t="n">
        <f aca="false">IF(AND(Y$2&gt;=Inputs!$F$38,Y$2&lt;Inputs!$F$34),Inputs!$F$39+Inputs!$F$40,0)</f>
        <v>0</v>
      </c>
      <c r="Z34" s="11" t="n">
        <f aca="false">IF(AND(Z$2&gt;=Inputs!$F$38,Z$2&lt;Inputs!$F$34),Inputs!$F$39+Inputs!$F$40,0)</f>
        <v>0</v>
      </c>
      <c r="AA34" s="11" t="n">
        <f aca="false">IF(AND(AA$2&gt;=Inputs!$F$38,AA$2&lt;Inputs!$F$34),Inputs!$F$39+Inputs!$F$40,0)</f>
        <v>0</v>
      </c>
      <c r="AB34" s="11" t="n">
        <f aca="false">IF(AND(AB$2&gt;=Inputs!$F$38,AB$2&lt;Inputs!$F$34),Inputs!$F$39+Inputs!$F$40,0)</f>
        <v>0</v>
      </c>
      <c r="AC34" s="11" t="n">
        <f aca="false">IF(AND(AC$2&gt;=Inputs!$F$38,AC$2&lt;Inputs!$F$34),Inputs!$F$39+Inputs!$F$40,0)</f>
        <v>0</v>
      </c>
      <c r="AD34" s="11" t="n">
        <f aca="false">IF(AND(AD$2&gt;=Inputs!$F$38,AD$2&lt;Inputs!$F$34),Inputs!$F$39+Inputs!$F$40,0)</f>
        <v>0</v>
      </c>
      <c r="AE34" s="11" t="n">
        <f aca="false">IF(AND(AE$2&gt;=Inputs!$F$38,AE$2&lt;Inputs!$F$34),Inputs!$F$39+Inputs!$F$40,0)</f>
        <v>0</v>
      </c>
      <c r="AF34" s="11" t="n">
        <f aca="false">IF(AND(AF$2&gt;=Inputs!$F$38,AF$2&lt;Inputs!$F$34),Inputs!$F$39+Inputs!$F$40,0)</f>
        <v>0</v>
      </c>
      <c r="AG34" s="11" t="n">
        <f aca="false">IF(AND(AG$2&gt;=Inputs!$F$38,AG$2&lt;Inputs!$F$34),Inputs!$F$39+Inputs!$F$40,0)</f>
        <v>0</v>
      </c>
      <c r="AH34" s="11" t="n">
        <f aca="false">IF(AND(AH$2&gt;=Inputs!$F$38,AH$2&lt;Inputs!$F$34),Inputs!$F$39+Inputs!$F$40,0)</f>
        <v>0</v>
      </c>
      <c r="AI34" s="11" t="n">
        <f aca="false">IF(AND(AI$2&gt;=Inputs!$F$38,AI$2&lt;Inputs!$F$34),Inputs!$F$39+Inputs!$F$40,0)</f>
        <v>0</v>
      </c>
      <c r="AJ34" s="11" t="n">
        <f aca="false">IF(AND(AJ$2&gt;=Inputs!$F$38,AJ$2&lt;Inputs!$F$34),Inputs!$F$39+Inputs!$F$40,0)</f>
        <v>0</v>
      </c>
      <c r="AK34" s="11" t="n">
        <f aca="false">IF(AND(AK$2&gt;=Inputs!$F$38,AK$2&lt;Inputs!$F$34),Inputs!$F$39+Inputs!$F$40,0)</f>
        <v>0</v>
      </c>
      <c r="AL34" s="11" t="n">
        <f aca="false">IF(AND(AL$2&gt;=Inputs!$F$38,AL$2&lt;Inputs!$F$34),Inputs!$F$39+Inputs!$F$40,0)</f>
        <v>0</v>
      </c>
    </row>
    <row r="35" customFormat="false" ht="15" hidden="false" customHeight="false" outlineLevel="0" collapsed="false">
      <c r="A35" s="2" t="s">
        <v>217</v>
      </c>
      <c r="B35" s="4"/>
      <c r="C35" s="11" t="n">
        <f aca="false">Inputs!$F$42/12</f>
        <v>2083.33333333333</v>
      </c>
      <c r="D35" s="11" t="n">
        <f aca="false">Inputs!$F$42/12</f>
        <v>2083.33333333333</v>
      </c>
      <c r="E35" s="11" t="n">
        <f aca="false">Inputs!$F$42/12</f>
        <v>2083.33333333333</v>
      </c>
      <c r="F35" s="11" t="n">
        <f aca="false">Inputs!$F$42/12</f>
        <v>2083.33333333333</v>
      </c>
      <c r="G35" s="11" t="n">
        <f aca="false">Inputs!$F$42/12</f>
        <v>2083.33333333333</v>
      </c>
      <c r="H35" s="11" t="n">
        <f aca="false">Inputs!$F$42/12</f>
        <v>2083.33333333333</v>
      </c>
      <c r="I35" s="11" t="n">
        <f aca="false">Inputs!$F$42/12</f>
        <v>2083.33333333333</v>
      </c>
      <c r="J35" s="11" t="n">
        <f aca="false">Inputs!$F$42/12</f>
        <v>2083.33333333333</v>
      </c>
      <c r="K35" s="11" t="n">
        <f aca="false">Inputs!$F$42/12</f>
        <v>2083.33333333333</v>
      </c>
      <c r="L35" s="11" t="n">
        <f aca="false">Inputs!$F$42/12</f>
        <v>2083.33333333333</v>
      </c>
      <c r="M35" s="11" t="n">
        <f aca="false">Inputs!$F$42/12</f>
        <v>2083.33333333333</v>
      </c>
      <c r="N35" s="11" t="n">
        <f aca="false">Inputs!$F$42/12</f>
        <v>2083.33333333333</v>
      </c>
      <c r="O35" s="11" t="n">
        <f aca="false">Inputs!$F$42/12</f>
        <v>2083.33333333333</v>
      </c>
      <c r="P35" s="11" t="n">
        <f aca="false">Inputs!$F$42/12</f>
        <v>2083.33333333333</v>
      </c>
      <c r="Q35" s="11" t="n">
        <f aca="false">Inputs!$F$42/12</f>
        <v>2083.33333333333</v>
      </c>
      <c r="R35" s="11" t="n">
        <f aca="false">Inputs!$F$42/12</f>
        <v>2083.33333333333</v>
      </c>
      <c r="S35" s="11" t="n">
        <f aca="false">Inputs!$F$42/12</f>
        <v>2083.33333333333</v>
      </c>
      <c r="T35" s="11" t="n">
        <f aca="false">Inputs!$F$42/12</f>
        <v>2083.33333333333</v>
      </c>
      <c r="U35" s="11" t="n">
        <f aca="false">Inputs!$F$42/12</f>
        <v>2083.33333333333</v>
      </c>
      <c r="V35" s="11" t="n">
        <f aca="false">Inputs!$F$42/12</f>
        <v>2083.33333333333</v>
      </c>
      <c r="W35" s="11" t="n">
        <f aca="false">Inputs!$F$42/12</f>
        <v>2083.33333333333</v>
      </c>
      <c r="X35" s="11" t="n">
        <f aca="false">Inputs!$F$42/12</f>
        <v>2083.33333333333</v>
      </c>
      <c r="Y35" s="11" t="n">
        <f aca="false">Inputs!$F$42/12</f>
        <v>2083.33333333333</v>
      </c>
      <c r="Z35" s="11" t="n">
        <f aca="false">Inputs!$F$42/12</f>
        <v>2083.33333333333</v>
      </c>
      <c r="AA35" s="11" t="n">
        <f aca="false">Inputs!$F$42/12</f>
        <v>2083.33333333333</v>
      </c>
      <c r="AB35" s="11" t="n">
        <f aca="false">Inputs!$F$42/12</f>
        <v>2083.33333333333</v>
      </c>
      <c r="AC35" s="11" t="n">
        <f aca="false">Inputs!$F$42/12</f>
        <v>2083.33333333333</v>
      </c>
      <c r="AD35" s="11" t="n">
        <f aca="false">Inputs!$F$42/12</f>
        <v>2083.33333333333</v>
      </c>
      <c r="AE35" s="11" t="n">
        <f aca="false">Inputs!$F$42/12</f>
        <v>2083.33333333333</v>
      </c>
      <c r="AF35" s="11" t="n">
        <f aca="false">Inputs!$F$42/12</f>
        <v>2083.33333333333</v>
      </c>
      <c r="AG35" s="11" t="n">
        <f aca="false">Inputs!$F$42/12</f>
        <v>2083.33333333333</v>
      </c>
      <c r="AH35" s="11" t="n">
        <f aca="false">Inputs!$F$42/12</f>
        <v>2083.33333333333</v>
      </c>
      <c r="AI35" s="11" t="n">
        <f aca="false">Inputs!$F$42/12</f>
        <v>2083.33333333333</v>
      </c>
      <c r="AJ35" s="11" t="n">
        <f aca="false">Inputs!$F$42/12</f>
        <v>2083.33333333333</v>
      </c>
      <c r="AK35" s="11" t="n">
        <f aca="false">Inputs!$F$42/12</f>
        <v>2083.33333333333</v>
      </c>
      <c r="AL35" s="11" t="n">
        <f aca="false">Inputs!$F$42/12</f>
        <v>2083.33333333333</v>
      </c>
    </row>
    <row r="36" customFormat="false" ht="15" hidden="false" customHeight="false" outlineLevel="0" collapsed="false">
      <c r="A36" s="2" t="s">
        <v>218</v>
      </c>
      <c r="B36" s="4"/>
      <c r="C36" s="11" t="n">
        <f aca="false">(Inputs!$F$43+Inputs!$F$44)/12</f>
        <v>766.666666666667</v>
      </c>
      <c r="D36" s="11" t="n">
        <f aca="false">(Inputs!$F$43+Inputs!$F$44)/12</f>
        <v>766.666666666667</v>
      </c>
      <c r="E36" s="11" t="n">
        <f aca="false">(Inputs!$F$43+Inputs!$F$44)/12</f>
        <v>766.666666666667</v>
      </c>
      <c r="F36" s="11" t="n">
        <f aca="false">(Inputs!$F$43+Inputs!$F$44)/12</f>
        <v>766.666666666667</v>
      </c>
      <c r="G36" s="11" t="n">
        <f aca="false">(Inputs!$F$43+Inputs!$F$44)/12</f>
        <v>766.666666666667</v>
      </c>
      <c r="H36" s="11" t="n">
        <f aca="false">(Inputs!$F$43+Inputs!$F$44)/12</f>
        <v>766.666666666667</v>
      </c>
      <c r="I36" s="11" t="n">
        <f aca="false">(Inputs!$F$43+Inputs!$F$44)/12</f>
        <v>766.666666666667</v>
      </c>
      <c r="J36" s="11" t="n">
        <f aca="false">(Inputs!$F$43+Inputs!$F$44)/12</f>
        <v>766.666666666667</v>
      </c>
      <c r="K36" s="11" t="n">
        <f aca="false">(Inputs!$F$43+Inputs!$F$44)/12</f>
        <v>766.666666666667</v>
      </c>
      <c r="L36" s="11" t="n">
        <f aca="false">(Inputs!$F$43+Inputs!$F$44)/12</f>
        <v>766.666666666667</v>
      </c>
      <c r="M36" s="11" t="n">
        <f aca="false">(Inputs!$F$43+Inputs!$F$44)/12</f>
        <v>766.666666666667</v>
      </c>
      <c r="N36" s="11" t="n">
        <f aca="false">(Inputs!$F$43+Inputs!$F$44)/12</f>
        <v>766.666666666667</v>
      </c>
      <c r="O36" s="11" t="n">
        <f aca="false">(Inputs!$F$43+Inputs!$F$44)/12</f>
        <v>766.666666666667</v>
      </c>
      <c r="P36" s="11" t="n">
        <f aca="false">(Inputs!$F$43+Inputs!$F$44)/12</f>
        <v>766.666666666667</v>
      </c>
      <c r="Q36" s="11" t="n">
        <f aca="false">(Inputs!$F$43+Inputs!$F$44)/12</f>
        <v>766.666666666667</v>
      </c>
      <c r="R36" s="11" t="n">
        <f aca="false">(Inputs!$F$43+Inputs!$F$44)/12</f>
        <v>766.666666666667</v>
      </c>
      <c r="S36" s="11" t="n">
        <f aca="false">(Inputs!$F$43+Inputs!$F$44)/12</f>
        <v>766.666666666667</v>
      </c>
      <c r="T36" s="11" t="n">
        <f aca="false">(Inputs!$F$43+Inputs!$F$44)/12</f>
        <v>766.666666666667</v>
      </c>
      <c r="U36" s="11" t="n">
        <f aca="false">(Inputs!$F$43+Inputs!$F$44)/12</f>
        <v>766.666666666667</v>
      </c>
      <c r="V36" s="11" t="n">
        <f aca="false">(Inputs!$F$43+Inputs!$F$44)/12</f>
        <v>766.666666666667</v>
      </c>
      <c r="W36" s="11" t="n">
        <f aca="false">(Inputs!$F$43+Inputs!$F$44)/12</f>
        <v>766.666666666667</v>
      </c>
      <c r="X36" s="11" t="n">
        <f aca="false">(Inputs!$F$43+Inputs!$F$44)/12</f>
        <v>766.666666666667</v>
      </c>
      <c r="Y36" s="11" t="n">
        <f aca="false">(Inputs!$F$43+Inputs!$F$44)/12</f>
        <v>766.666666666667</v>
      </c>
      <c r="Z36" s="11" t="n">
        <f aca="false">(Inputs!$F$43+Inputs!$F$44)/12</f>
        <v>766.666666666667</v>
      </c>
      <c r="AA36" s="11" t="n">
        <f aca="false">(Inputs!$F$43+Inputs!$F$44)/12</f>
        <v>766.666666666667</v>
      </c>
      <c r="AB36" s="11" t="n">
        <f aca="false">(Inputs!$F$43+Inputs!$F$44)/12</f>
        <v>766.666666666667</v>
      </c>
      <c r="AC36" s="11" t="n">
        <f aca="false">(Inputs!$F$43+Inputs!$F$44)/12</f>
        <v>766.666666666667</v>
      </c>
      <c r="AD36" s="11" t="n">
        <f aca="false">(Inputs!$F$43+Inputs!$F$44)/12</f>
        <v>766.666666666667</v>
      </c>
      <c r="AE36" s="11" t="n">
        <f aca="false">(Inputs!$F$43+Inputs!$F$44)/12</f>
        <v>766.666666666667</v>
      </c>
      <c r="AF36" s="11" t="n">
        <f aca="false">(Inputs!$F$43+Inputs!$F$44)/12</f>
        <v>766.666666666667</v>
      </c>
      <c r="AG36" s="11" t="n">
        <f aca="false">(Inputs!$F$43+Inputs!$F$44)/12</f>
        <v>766.666666666667</v>
      </c>
      <c r="AH36" s="11" t="n">
        <f aca="false">(Inputs!$F$43+Inputs!$F$44)/12</f>
        <v>766.666666666667</v>
      </c>
      <c r="AI36" s="11" t="n">
        <f aca="false">(Inputs!$F$43+Inputs!$F$44)/12</f>
        <v>766.666666666667</v>
      </c>
      <c r="AJ36" s="11" t="n">
        <f aca="false">(Inputs!$F$43+Inputs!$F$44)/12</f>
        <v>766.666666666667</v>
      </c>
      <c r="AK36" s="11" t="n">
        <f aca="false">(Inputs!$F$43+Inputs!$F$44)/12</f>
        <v>766.666666666667</v>
      </c>
      <c r="AL36" s="11" t="n">
        <f aca="false">(Inputs!$F$43+Inputs!$F$44)/12</f>
        <v>766.666666666667</v>
      </c>
    </row>
    <row r="37" customFormat="false" ht="15" hidden="false" customHeight="false" outlineLevel="0" collapsed="false">
      <c r="A37" s="2" t="s">
        <v>219</v>
      </c>
      <c r="B37" s="4"/>
      <c r="C37" s="11" t="n">
        <f aca="false">Inputs!$F$45</f>
        <v>1000</v>
      </c>
      <c r="D37" s="11" t="n">
        <f aca="false">Inputs!$F$45</f>
        <v>1000</v>
      </c>
      <c r="E37" s="11" t="n">
        <f aca="false">Inputs!$F$45</f>
        <v>1000</v>
      </c>
      <c r="F37" s="11" t="n">
        <f aca="false">Inputs!$F$45</f>
        <v>1000</v>
      </c>
      <c r="G37" s="11" t="n">
        <f aca="false">Inputs!$F$45</f>
        <v>1000</v>
      </c>
      <c r="H37" s="11" t="n">
        <f aca="false">Inputs!$F$45</f>
        <v>1000</v>
      </c>
      <c r="I37" s="11" t="n">
        <f aca="false">Inputs!$F$45</f>
        <v>1000</v>
      </c>
      <c r="J37" s="11" t="n">
        <f aca="false">Inputs!$F$45</f>
        <v>1000</v>
      </c>
      <c r="K37" s="11" t="n">
        <f aca="false">Inputs!$F$45</f>
        <v>1000</v>
      </c>
      <c r="L37" s="11" t="n">
        <f aca="false">Inputs!$F$45</f>
        <v>1000</v>
      </c>
      <c r="M37" s="11" t="n">
        <f aca="false">Inputs!$F$45</f>
        <v>1000</v>
      </c>
      <c r="N37" s="11" t="n">
        <f aca="false">Inputs!$F$45</f>
        <v>1000</v>
      </c>
      <c r="O37" s="11" t="n">
        <f aca="false">Inputs!$F$45</f>
        <v>1000</v>
      </c>
      <c r="P37" s="11" t="n">
        <f aca="false">Inputs!$F$45</f>
        <v>1000</v>
      </c>
      <c r="Q37" s="11" t="n">
        <f aca="false">Inputs!$F$45</f>
        <v>1000</v>
      </c>
      <c r="R37" s="11" t="n">
        <f aca="false">Inputs!$F$45</f>
        <v>1000</v>
      </c>
      <c r="S37" s="11" t="n">
        <f aca="false">Inputs!$F$45</f>
        <v>1000</v>
      </c>
      <c r="T37" s="11" t="n">
        <f aca="false">Inputs!$F$45</f>
        <v>1000</v>
      </c>
      <c r="U37" s="11" t="n">
        <f aca="false">Inputs!$F$45</f>
        <v>1000</v>
      </c>
      <c r="V37" s="11" t="n">
        <f aca="false">Inputs!$F$45</f>
        <v>1000</v>
      </c>
      <c r="W37" s="11" t="n">
        <f aca="false">Inputs!$F$45</f>
        <v>1000</v>
      </c>
      <c r="X37" s="11" t="n">
        <f aca="false">Inputs!$F$45</f>
        <v>1000</v>
      </c>
      <c r="Y37" s="11" t="n">
        <f aca="false">Inputs!$F$45</f>
        <v>1000</v>
      </c>
      <c r="Z37" s="11" t="n">
        <f aca="false">Inputs!$F$45</f>
        <v>1000</v>
      </c>
      <c r="AA37" s="11" t="n">
        <f aca="false">Inputs!$F$45</f>
        <v>1000</v>
      </c>
      <c r="AB37" s="11" t="n">
        <f aca="false">Inputs!$F$45</f>
        <v>1000</v>
      </c>
      <c r="AC37" s="11" t="n">
        <f aca="false">Inputs!$F$45</f>
        <v>1000</v>
      </c>
      <c r="AD37" s="11" t="n">
        <f aca="false">Inputs!$F$45</f>
        <v>1000</v>
      </c>
      <c r="AE37" s="11" t="n">
        <f aca="false">Inputs!$F$45</f>
        <v>1000</v>
      </c>
      <c r="AF37" s="11" t="n">
        <f aca="false">Inputs!$F$45</f>
        <v>1000</v>
      </c>
      <c r="AG37" s="11" t="n">
        <f aca="false">Inputs!$F$45</f>
        <v>1000</v>
      </c>
      <c r="AH37" s="11" t="n">
        <f aca="false">Inputs!$F$45</f>
        <v>1000</v>
      </c>
      <c r="AI37" s="11" t="n">
        <f aca="false">Inputs!$F$45</f>
        <v>1000</v>
      </c>
      <c r="AJ37" s="11" t="n">
        <f aca="false">Inputs!$F$45</f>
        <v>1000</v>
      </c>
      <c r="AK37" s="11" t="n">
        <f aca="false">Inputs!$F$45</f>
        <v>1000</v>
      </c>
      <c r="AL37" s="11" t="n">
        <f aca="false">Inputs!$F$45</f>
        <v>1000</v>
      </c>
    </row>
    <row r="38" customFormat="false" ht="15" hidden="false" customHeight="false" outlineLevel="0" collapsed="false">
      <c r="A38" s="2" t="s">
        <v>220</v>
      </c>
      <c r="B38" s="4"/>
      <c r="C38" s="11" t="n">
        <f aca="false">Inputs!$F$46+IF(C$2&lt;=3,Inputs!$F$47/3,0)</f>
        <v>5000</v>
      </c>
      <c r="D38" s="11" t="n">
        <f aca="false">Inputs!$F$46+IF(D$2&lt;=3,Inputs!$F$47/3,0)</f>
        <v>5000</v>
      </c>
      <c r="E38" s="11" t="n">
        <f aca="false">Inputs!$F$46+IF(E$2&lt;=3,Inputs!$F$47/3,0)</f>
        <v>5000</v>
      </c>
      <c r="F38" s="11" t="n">
        <f aca="false">Inputs!$F$46+IF(F$2&lt;=3,Inputs!$F$47/3,0)</f>
        <v>1000</v>
      </c>
      <c r="G38" s="11" t="n">
        <f aca="false">Inputs!$F$46+IF(G$2&lt;=3,Inputs!$F$47/3,0)</f>
        <v>1000</v>
      </c>
      <c r="H38" s="11" t="n">
        <f aca="false">Inputs!$F$46+IF(H$2&lt;=3,Inputs!$F$47/3,0)</f>
        <v>1000</v>
      </c>
      <c r="I38" s="11" t="n">
        <f aca="false">Inputs!$F$46+IF(I$2&lt;=3,Inputs!$F$47/3,0)</f>
        <v>1000</v>
      </c>
      <c r="J38" s="11" t="n">
        <f aca="false">Inputs!$F$46+IF(J$2&lt;=3,Inputs!$F$47/3,0)</f>
        <v>1000</v>
      </c>
      <c r="K38" s="11" t="n">
        <f aca="false">Inputs!$F$46+IF(K$2&lt;=3,Inputs!$F$47/3,0)</f>
        <v>1000</v>
      </c>
      <c r="L38" s="11" t="n">
        <f aca="false">Inputs!$F$46+IF(L$2&lt;=3,Inputs!$F$47/3,0)</f>
        <v>1000</v>
      </c>
      <c r="M38" s="11" t="n">
        <f aca="false">Inputs!$F$46+IF(M$2&lt;=3,Inputs!$F$47/3,0)</f>
        <v>1000</v>
      </c>
      <c r="N38" s="11" t="n">
        <f aca="false">Inputs!$F$46+IF(N$2&lt;=3,Inputs!$F$47/3,0)</f>
        <v>1000</v>
      </c>
      <c r="O38" s="11" t="n">
        <f aca="false">Inputs!$F$46+IF(O$2&lt;=3,Inputs!$F$47/3,0)</f>
        <v>1000</v>
      </c>
      <c r="P38" s="11" t="n">
        <f aca="false">Inputs!$F$46+IF(P$2&lt;=3,Inputs!$F$47/3,0)</f>
        <v>1000</v>
      </c>
      <c r="Q38" s="11" t="n">
        <f aca="false">Inputs!$F$46+IF(Q$2&lt;=3,Inputs!$F$47/3,0)</f>
        <v>1000</v>
      </c>
      <c r="R38" s="11" t="n">
        <f aca="false">Inputs!$F$46+IF(R$2&lt;=3,Inputs!$F$47/3,0)</f>
        <v>1000</v>
      </c>
      <c r="S38" s="11" t="n">
        <f aca="false">Inputs!$F$46+IF(S$2&lt;=3,Inputs!$F$47/3,0)</f>
        <v>1000</v>
      </c>
      <c r="T38" s="11" t="n">
        <f aca="false">Inputs!$F$46+IF(T$2&lt;=3,Inputs!$F$47/3,0)</f>
        <v>1000</v>
      </c>
      <c r="U38" s="11" t="n">
        <f aca="false">Inputs!$F$46+IF(U$2&lt;=3,Inputs!$F$47/3,0)</f>
        <v>1000</v>
      </c>
      <c r="V38" s="11" t="n">
        <f aca="false">Inputs!$F$46+IF(V$2&lt;=3,Inputs!$F$47/3,0)</f>
        <v>1000</v>
      </c>
      <c r="W38" s="11" t="n">
        <f aca="false">Inputs!$F$46+IF(W$2&lt;=3,Inputs!$F$47/3,0)</f>
        <v>1000</v>
      </c>
      <c r="X38" s="11" t="n">
        <f aca="false">Inputs!$F$46+IF(X$2&lt;=3,Inputs!$F$47/3,0)</f>
        <v>1000</v>
      </c>
      <c r="Y38" s="11" t="n">
        <f aca="false">Inputs!$F$46+IF(Y$2&lt;=3,Inputs!$F$47/3,0)</f>
        <v>1000</v>
      </c>
      <c r="Z38" s="11" t="n">
        <f aca="false">Inputs!$F$46+IF(Z$2&lt;=3,Inputs!$F$47/3,0)</f>
        <v>1000</v>
      </c>
      <c r="AA38" s="11" t="n">
        <f aca="false">Inputs!$F$46+IF(AA$2&lt;=3,Inputs!$F$47/3,0)</f>
        <v>1000</v>
      </c>
      <c r="AB38" s="11" t="n">
        <f aca="false">Inputs!$F$46+IF(AB$2&lt;=3,Inputs!$F$47/3,0)</f>
        <v>1000</v>
      </c>
      <c r="AC38" s="11" t="n">
        <f aca="false">Inputs!$F$46+IF(AC$2&lt;=3,Inputs!$F$47/3,0)</f>
        <v>1000</v>
      </c>
      <c r="AD38" s="11" t="n">
        <f aca="false">Inputs!$F$46+IF(AD$2&lt;=3,Inputs!$F$47/3,0)</f>
        <v>1000</v>
      </c>
      <c r="AE38" s="11" t="n">
        <f aca="false">Inputs!$F$46+IF(AE$2&lt;=3,Inputs!$F$47/3,0)</f>
        <v>1000</v>
      </c>
      <c r="AF38" s="11" t="n">
        <f aca="false">Inputs!$F$46+IF(AF$2&lt;=3,Inputs!$F$47/3,0)</f>
        <v>1000</v>
      </c>
      <c r="AG38" s="11" t="n">
        <f aca="false">Inputs!$F$46+IF(AG$2&lt;=3,Inputs!$F$47/3,0)</f>
        <v>1000</v>
      </c>
      <c r="AH38" s="11" t="n">
        <f aca="false">Inputs!$F$46+IF(AH$2&lt;=3,Inputs!$F$47/3,0)</f>
        <v>1000</v>
      </c>
      <c r="AI38" s="11" t="n">
        <f aca="false">Inputs!$F$46+IF(AI$2&lt;=3,Inputs!$F$47/3,0)</f>
        <v>1000</v>
      </c>
      <c r="AJ38" s="11" t="n">
        <f aca="false">Inputs!$F$46+IF(AJ$2&lt;=3,Inputs!$F$47/3,0)</f>
        <v>1000</v>
      </c>
      <c r="AK38" s="11" t="n">
        <f aca="false">Inputs!$F$46+IF(AK$2&lt;=3,Inputs!$F$47/3,0)</f>
        <v>1000</v>
      </c>
      <c r="AL38" s="11" t="n">
        <f aca="false">Inputs!$F$46+IF(AL$2&lt;=3,Inputs!$F$47/3,0)</f>
        <v>1000</v>
      </c>
    </row>
    <row r="39" customFormat="false" ht="15" hidden="false" customHeight="false" outlineLevel="0" collapsed="false">
      <c r="A39" s="2" t="s">
        <v>221</v>
      </c>
      <c r="B39" s="4"/>
      <c r="C39" s="11" t="n">
        <f aca="false">CHOOSE(C$3,Inputs!$F$48,Inputs!$F$49,Inputs!$F$50)/12</f>
        <v>2716.58333333333</v>
      </c>
      <c r="D39" s="11" t="n">
        <f aca="false">CHOOSE(D$3,Inputs!$F$48,Inputs!$F$49,Inputs!$F$50)/12</f>
        <v>2716.58333333333</v>
      </c>
      <c r="E39" s="11" t="n">
        <f aca="false">CHOOSE(E$3,Inputs!$F$48,Inputs!$F$49,Inputs!$F$50)/12</f>
        <v>2716.58333333333</v>
      </c>
      <c r="F39" s="11" t="n">
        <f aca="false">CHOOSE(F$3,Inputs!$F$48,Inputs!$F$49,Inputs!$F$50)/12</f>
        <v>2716.58333333333</v>
      </c>
      <c r="G39" s="11" t="n">
        <f aca="false">CHOOSE(G$3,Inputs!$F$48,Inputs!$F$49,Inputs!$F$50)/12</f>
        <v>2716.58333333333</v>
      </c>
      <c r="H39" s="11" t="n">
        <f aca="false">CHOOSE(H$3,Inputs!$F$48,Inputs!$F$49,Inputs!$F$50)/12</f>
        <v>2716.58333333333</v>
      </c>
      <c r="I39" s="11" t="n">
        <f aca="false">CHOOSE(I$3,Inputs!$F$48,Inputs!$F$49,Inputs!$F$50)/12</f>
        <v>2716.58333333333</v>
      </c>
      <c r="J39" s="11" t="n">
        <f aca="false">CHOOSE(J$3,Inputs!$F$48,Inputs!$F$49,Inputs!$F$50)/12</f>
        <v>2716.58333333333</v>
      </c>
      <c r="K39" s="11" t="n">
        <f aca="false">CHOOSE(K$3,Inputs!$F$48,Inputs!$F$49,Inputs!$F$50)/12</f>
        <v>2716.58333333333</v>
      </c>
      <c r="L39" s="11" t="n">
        <f aca="false">CHOOSE(L$3,Inputs!$F$48,Inputs!$F$49,Inputs!$F$50)/12</f>
        <v>2716.58333333333</v>
      </c>
      <c r="M39" s="11" t="n">
        <f aca="false">CHOOSE(M$3,Inputs!$F$48,Inputs!$F$49,Inputs!$F$50)/12</f>
        <v>2716.58333333333</v>
      </c>
      <c r="N39" s="11" t="n">
        <f aca="false">CHOOSE(N$3,Inputs!$F$48,Inputs!$F$49,Inputs!$F$50)/12</f>
        <v>2716.58333333333</v>
      </c>
      <c r="O39" s="11" t="n">
        <f aca="false">CHOOSE(O$3,Inputs!$F$48,Inputs!$F$49,Inputs!$F$50)/12</f>
        <v>3553.75</v>
      </c>
      <c r="P39" s="11" t="n">
        <f aca="false">CHOOSE(P$3,Inputs!$F$48,Inputs!$F$49,Inputs!$F$50)/12</f>
        <v>3553.75</v>
      </c>
      <c r="Q39" s="11" t="n">
        <f aca="false">CHOOSE(Q$3,Inputs!$F$48,Inputs!$F$49,Inputs!$F$50)/12</f>
        <v>3553.75</v>
      </c>
      <c r="R39" s="11" t="n">
        <f aca="false">CHOOSE(R$3,Inputs!$F$48,Inputs!$F$49,Inputs!$F$50)/12</f>
        <v>3553.75</v>
      </c>
      <c r="S39" s="11" t="n">
        <f aca="false">CHOOSE(S$3,Inputs!$F$48,Inputs!$F$49,Inputs!$F$50)/12</f>
        <v>3553.75</v>
      </c>
      <c r="T39" s="11" t="n">
        <f aca="false">CHOOSE(T$3,Inputs!$F$48,Inputs!$F$49,Inputs!$F$50)/12</f>
        <v>3553.75</v>
      </c>
      <c r="U39" s="11" t="n">
        <f aca="false">CHOOSE(U$3,Inputs!$F$48,Inputs!$F$49,Inputs!$F$50)/12</f>
        <v>3553.75</v>
      </c>
      <c r="V39" s="11" t="n">
        <f aca="false">CHOOSE(V$3,Inputs!$F$48,Inputs!$F$49,Inputs!$F$50)/12</f>
        <v>3553.75</v>
      </c>
      <c r="W39" s="11" t="n">
        <f aca="false">CHOOSE(W$3,Inputs!$F$48,Inputs!$F$49,Inputs!$F$50)/12</f>
        <v>3553.75</v>
      </c>
      <c r="X39" s="11" t="n">
        <f aca="false">CHOOSE(X$3,Inputs!$F$48,Inputs!$F$49,Inputs!$F$50)/12</f>
        <v>3553.75</v>
      </c>
      <c r="Y39" s="11" t="n">
        <f aca="false">CHOOSE(Y$3,Inputs!$F$48,Inputs!$F$49,Inputs!$F$50)/12</f>
        <v>3553.75</v>
      </c>
      <c r="Z39" s="11" t="n">
        <f aca="false">CHOOSE(Z$3,Inputs!$F$48,Inputs!$F$49,Inputs!$F$50)/12</f>
        <v>3553.75</v>
      </c>
      <c r="AA39" s="11" t="n">
        <f aca="false">CHOOSE(AA$3,Inputs!$F$48,Inputs!$F$49,Inputs!$F$50)/12</f>
        <v>4815.41666666667</v>
      </c>
      <c r="AB39" s="11" t="n">
        <f aca="false">CHOOSE(AB$3,Inputs!$F$48,Inputs!$F$49,Inputs!$F$50)/12</f>
        <v>4815.41666666667</v>
      </c>
      <c r="AC39" s="11" t="n">
        <f aca="false">CHOOSE(AC$3,Inputs!$F$48,Inputs!$F$49,Inputs!$F$50)/12</f>
        <v>4815.41666666667</v>
      </c>
      <c r="AD39" s="11" t="n">
        <f aca="false">CHOOSE(AD$3,Inputs!$F$48,Inputs!$F$49,Inputs!$F$50)/12</f>
        <v>4815.41666666667</v>
      </c>
      <c r="AE39" s="11" t="n">
        <f aca="false">CHOOSE(AE$3,Inputs!$F$48,Inputs!$F$49,Inputs!$F$50)/12</f>
        <v>4815.41666666667</v>
      </c>
      <c r="AF39" s="11" t="n">
        <f aca="false">CHOOSE(AF$3,Inputs!$F$48,Inputs!$F$49,Inputs!$F$50)/12</f>
        <v>4815.41666666667</v>
      </c>
      <c r="AG39" s="11" t="n">
        <f aca="false">CHOOSE(AG$3,Inputs!$F$48,Inputs!$F$49,Inputs!$F$50)/12</f>
        <v>4815.41666666667</v>
      </c>
      <c r="AH39" s="11" t="n">
        <f aca="false">CHOOSE(AH$3,Inputs!$F$48,Inputs!$F$49,Inputs!$F$50)/12</f>
        <v>4815.41666666667</v>
      </c>
      <c r="AI39" s="11" t="n">
        <f aca="false">CHOOSE(AI$3,Inputs!$F$48,Inputs!$F$49,Inputs!$F$50)/12</f>
        <v>4815.41666666667</v>
      </c>
      <c r="AJ39" s="11" t="n">
        <f aca="false">CHOOSE(AJ$3,Inputs!$F$48,Inputs!$F$49,Inputs!$F$50)/12</f>
        <v>4815.41666666667</v>
      </c>
      <c r="AK39" s="11" t="n">
        <f aca="false">CHOOSE(AK$3,Inputs!$F$48,Inputs!$F$49,Inputs!$F$50)/12</f>
        <v>4815.41666666667</v>
      </c>
      <c r="AL39" s="11" t="n">
        <f aca="false">CHOOSE(AL$3,Inputs!$F$48,Inputs!$F$49,Inputs!$F$50)/12</f>
        <v>4815.41666666667</v>
      </c>
    </row>
    <row r="40" customFormat="false" ht="15" hidden="false" customHeight="false" outlineLevel="0" collapsed="false">
      <c r="A40" s="3" t="s">
        <v>222</v>
      </c>
      <c r="B40" s="4"/>
      <c r="C40" s="11" t="n">
        <f aca="false">SUM(C31:C39)</f>
        <v>17846.1666666667</v>
      </c>
      <c r="D40" s="11" t="n">
        <f aca="false">SUM(D31:D39)</f>
        <v>17846.1666666667</v>
      </c>
      <c r="E40" s="11" t="n">
        <f aca="false">SUM(E31:E39)</f>
        <v>17846.1666666667</v>
      </c>
      <c r="F40" s="11" t="n">
        <f aca="false">SUM(F31:F39)</f>
        <v>13846.1666666667</v>
      </c>
      <c r="G40" s="11" t="n">
        <f aca="false">SUM(G31:G39)</f>
        <v>13846.1666666667</v>
      </c>
      <c r="H40" s="11" t="n">
        <f aca="false">SUM(H31:H39)</f>
        <v>16146.1666666667</v>
      </c>
      <c r="I40" s="11" t="n">
        <f aca="false">SUM(I31:I39)</f>
        <v>16146.1666666667</v>
      </c>
      <c r="J40" s="11" t="n">
        <f aca="false">SUM(J31:J39)</f>
        <v>16146.1666666667</v>
      </c>
      <c r="K40" s="11" t="n">
        <f aca="false">SUM(K31:K39)</f>
        <v>16146.1666666667</v>
      </c>
      <c r="L40" s="11" t="n">
        <f aca="false">SUM(L31:L39)</f>
        <v>16146.1666666667</v>
      </c>
      <c r="M40" s="11" t="n">
        <f aca="false">SUM(M31:M39)</f>
        <v>16146.1666666667</v>
      </c>
      <c r="N40" s="11" t="n">
        <f aca="false">SUM(N31:N39)</f>
        <v>16146.1666666667</v>
      </c>
      <c r="O40" s="11" t="n">
        <f aca="false">SUM(O31:O39)</f>
        <v>19674.5833333333</v>
      </c>
      <c r="P40" s="11" t="n">
        <f aca="false">SUM(P31:P39)</f>
        <v>24666.25</v>
      </c>
      <c r="Q40" s="11" t="n">
        <f aca="false">SUM(Q31:Q39)</f>
        <v>24666.25</v>
      </c>
      <c r="R40" s="11" t="n">
        <f aca="false">SUM(R31:R39)</f>
        <v>24666.25</v>
      </c>
      <c r="S40" s="11" t="n">
        <f aca="false">SUM(S31:S39)</f>
        <v>24666.25</v>
      </c>
      <c r="T40" s="11" t="n">
        <f aca="false">SUM(T31:T39)</f>
        <v>24666.25</v>
      </c>
      <c r="U40" s="11" t="n">
        <f aca="false">SUM(U31:U39)</f>
        <v>24666.25</v>
      </c>
      <c r="V40" s="11" t="n">
        <f aca="false">SUM(V31:V39)</f>
        <v>24666.25</v>
      </c>
      <c r="W40" s="11" t="n">
        <f aca="false">SUM(W31:W39)</f>
        <v>24666.25</v>
      </c>
      <c r="X40" s="11" t="n">
        <f aca="false">SUM(X31:X39)</f>
        <v>33416.25</v>
      </c>
      <c r="Y40" s="11" t="n">
        <f aca="false">SUM(Y31:Y39)</f>
        <v>33416.25</v>
      </c>
      <c r="Z40" s="11" t="n">
        <f aca="false">SUM(Z31:Z39)</f>
        <v>33416.25</v>
      </c>
      <c r="AA40" s="11" t="n">
        <f aca="false">SUM(AA31:AA39)</f>
        <v>37369.1666666667</v>
      </c>
      <c r="AB40" s="11" t="n">
        <f aca="false">SUM(AB31:AB39)</f>
        <v>37369.1666666667</v>
      </c>
      <c r="AC40" s="11" t="n">
        <f aca="false">SUM(AC31:AC39)</f>
        <v>37369.1666666667</v>
      </c>
      <c r="AD40" s="11" t="n">
        <f aca="false">SUM(AD31:AD39)</f>
        <v>37369.1666666667</v>
      </c>
      <c r="AE40" s="11" t="n">
        <f aca="false">SUM(AE31:AE39)</f>
        <v>37369.1666666667</v>
      </c>
      <c r="AF40" s="11" t="n">
        <f aca="false">SUM(AF31:AF39)</f>
        <v>37369.1666666667</v>
      </c>
      <c r="AG40" s="11" t="n">
        <f aca="false">SUM(AG31:AG39)</f>
        <v>37369.1666666667</v>
      </c>
      <c r="AH40" s="11" t="n">
        <f aca="false">SUM(AH31:AH39)</f>
        <v>37369.1666666667</v>
      </c>
      <c r="AI40" s="11" t="n">
        <f aca="false">SUM(AI31:AI39)</f>
        <v>37369.1666666667</v>
      </c>
      <c r="AJ40" s="11" t="n">
        <f aca="false">SUM(AJ31:AJ39)</f>
        <v>37369.1666666667</v>
      </c>
      <c r="AK40" s="11" t="n">
        <f aca="false">SUM(AK31:AK39)</f>
        <v>37369.1666666667</v>
      </c>
      <c r="AL40" s="11" t="n">
        <f aca="false">SUM(AL31:AL39)</f>
        <v>37369.1666666667</v>
      </c>
    </row>
    <row r="41" customFormat="false" ht="15" hidden="false" customHeight="false" outlineLevel="0" collapsed="false">
      <c r="A41" s="3" t="s">
        <v>223</v>
      </c>
      <c r="B41" s="4"/>
      <c r="C41" s="11" t="n">
        <f aca="false">C29-C40</f>
        <v>-12346.1666666667</v>
      </c>
      <c r="D41" s="11" t="n">
        <f aca="false">D29-D40</f>
        <v>-13846.1666666667</v>
      </c>
      <c r="E41" s="11" t="n">
        <f aca="false">E29-E40</f>
        <v>-5626.16666666667</v>
      </c>
      <c r="F41" s="11" t="n">
        <f aca="false">F29-F40</f>
        <v>-6226.16666666667</v>
      </c>
      <c r="G41" s="11" t="n">
        <f aca="false">G29-G40</f>
        <v>1128.83333333333</v>
      </c>
      <c r="H41" s="11" t="n">
        <f aca="false">H29-H40</f>
        <v>-7678.66666666667</v>
      </c>
      <c r="I41" s="11" t="n">
        <f aca="false">I29-I40</f>
        <v>2186.33333333333</v>
      </c>
      <c r="J41" s="11" t="n">
        <f aca="false">J29-J40</f>
        <v>5476.33333333333</v>
      </c>
      <c r="K41" s="11" t="n">
        <f aca="false">K29-K40</f>
        <v>3356.33333333333</v>
      </c>
      <c r="L41" s="11" t="n">
        <f aca="false">L29-L40</f>
        <v>22588.8333333333</v>
      </c>
      <c r="M41" s="11" t="n">
        <f aca="false">M29-M40</f>
        <v>9163.83333333333</v>
      </c>
      <c r="N41" s="11" t="n">
        <f aca="false">N29-N40</f>
        <v>8093.83333333333</v>
      </c>
      <c r="O41" s="11" t="n">
        <f aca="false">O29-O40</f>
        <v>10131.5416666667</v>
      </c>
      <c r="P41" s="11" t="n">
        <f aca="false">P29-P40</f>
        <v>6289.25</v>
      </c>
      <c r="Q41" s="11" t="n">
        <f aca="false">Q29-Q40</f>
        <v>16553.625</v>
      </c>
      <c r="R41" s="11" t="n">
        <f aca="false">R29-R40</f>
        <v>28981.125</v>
      </c>
      <c r="S41" s="11" t="n">
        <f aca="false">S29-S40</f>
        <v>22658.625</v>
      </c>
      <c r="T41" s="11" t="n">
        <f aca="false">T29-T40</f>
        <v>10390.5</v>
      </c>
      <c r="U41" s="11" t="n">
        <f aca="false">U29-U40</f>
        <v>40529.875</v>
      </c>
      <c r="V41" s="11" t="n">
        <f aca="false">V29-V40</f>
        <v>22136.75</v>
      </c>
      <c r="W41" s="11" t="n">
        <f aca="false">W29-W40</f>
        <v>31731.75</v>
      </c>
      <c r="X41" s="11" t="n">
        <f aca="false">X29-X40</f>
        <v>46203.625</v>
      </c>
      <c r="Y41" s="11" t="n">
        <f aca="false">Y29-Y40</f>
        <v>25756.125</v>
      </c>
      <c r="Z41" s="11" t="n">
        <f aca="false">Z29-Z40</f>
        <v>22123</v>
      </c>
      <c r="AA41" s="11" t="n">
        <f aca="false">AA29-AA40</f>
        <v>34338.2645833333</v>
      </c>
      <c r="AB41" s="11" t="n">
        <f aca="false">AB29-AB40</f>
        <v>25107.2333333333</v>
      </c>
      <c r="AC41" s="11" t="n">
        <f aca="false">AC29-AC40</f>
        <v>58425.0770833333</v>
      </c>
      <c r="AD41" s="11" t="n">
        <f aca="false">AD29-AD40</f>
        <v>38809.0458333333</v>
      </c>
      <c r="AE41" s="11" t="n">
        <f aca="false">AE29-AE40</f>
        <v>45510.1708333333</v>
      </c>
      <c r="AF41" s="11" t="n">
        <f aca="false">AF29-AF40</f>
        <v>64519.1395833333</v>
      </c>
      <c r="AG41" s="11" t="n">
        <f aca="false">AG29-AG40</f>
        <v>52798.1083333333</v>
      </c>
      <c r="AH41" s="11" t="n">
        <f aca="false">AH29-AH40</f>
        <v>43567.0770833333</v>
      </c>
      <c r="AI41" s="11" t="n">
        <f aca="false">AI29-AI40</f>
        <v>76884.9208333333</v>
      </c>
      <c r="AJ41" s="11" t="n">
        <f aca="false">AJ29-AJ40</f>
        <v>57268.8895833333</v>
      </c>
      <c r="AK41" s="11" t="n">
        <f aca="false">AK29-AK40</f>
        <v>63970.0145833333</v>
      </c>
      <c r="AL41" s="11" t="n">
        <f aca="false">AL29-AL40</f>
        <v>63853.9833333333</v>
      </c>
    </row>
    <row r="42" customFormat="false" ht="15" hidden="false" customHeight="false" outlineLevel="0" collapsed="false">
      <c r="A42" s="2" t="s">
        <v>224</v>
      </c>
      <c r="B42" s="4"/>
      <c r="C42" s="11" t="n">
        <f aca="false">SUM(INDEX($C$41:$AL$41,MAX(1,C$2-11)):C41)</f>
        <v>-12346.1666666667</v>
      </c>
      <c r="D42" s="11" t="n">
        <f aca="false">SUM(INDEX($C$41:$AL$41,MAX(1,D$2-11)):D41)</f>
        <v>-26192.3333333333</v>
      </c>
      <c r="E42" s="11" t="n">
        <f aca="false">SUM(INDEX($C$41:$AL$41,MAX(1,E$2-11)):E41)</f>
        <v>-31818.5</v>
      </c>
      <c r="F42" s="11" t="n">
        <f aca="false">SUM(INDEX($C$41:$AL$41,MAX(1,F$2-11)):F41)</f>
        <v>-38044.6666666667</v>
      </c>
      <c r="G42" s="11" t="n">
        <f aca="false">SUM(INDEX($C$41:$AL$41,MAX(1,G$2-11)):G41)</f>
        <v>-36915.8333333333</v>
      </c>
      <c r="H42" s="11" t="n">
        <f aca="false">SUM(INDEX($C$41:$AL$41,MAX(1,H$2-11)):H41)</f>
        <v>-44594.5</v>
      </c>
      <c r="I42" s="11" t="n">
        <f aca="false">SUM(INDEX($C$41:$AL$41,MAX(1,I$2-11)):I41)</f>
        <v>-42408.1666666667</v>
      </c>
      <c r="J42" s="11" t="n">
        <f aca="false">SUM(INDEX($C$41:$AL$41,MAX(1,J$2-11)):J41)</f>
        <v>-36931.8333333333</v>
      </c>
      <c r="K42" s="11" t="n">
        <f aca="false">SUM(INDEX($C$41:$AL$41,MAX(1,K$2-11)):K41)</f>
        <v>-33575.5</v>
      </c>
      <c r="L42" s="11" t="n">
        <f aca="false">SUM(INDEX($C$41:$AL$41,MAX(1,L$2-11)):L41)</f>
        <v>-10986.6666666667</v>
      </c>
      <c r="M42" s="11" t="n">
        <f aca="false">SUM(INDEX($C$41:$AL$41,MAX(1,M$2-11)):M41)</f>
        <v>-1822.83333333333</v>
      </c>
      <c r="N42" s="11" t="n">
        <f aca="false">SUM(INDEX($C$41:$AL$41,MAX(1,N$2-11)):N41)</f>
        <v>6271</v>
      </c>
      <c r="O42" s="11" t="n">
        <f aca="false">SUM(INDEX($C$41:$AL$41,MAX(1,O$2-11)):O41)</f>
        <v>28748.7083333333</v>
      </c>
      <c r="P42" s="11" t="n">
        <f aca="false">SUM(INDEX($C$41:$AL$41,MAX(1,P$2-11)):P41)</f>
        <v>48884.125</v>
      </c>
      <c r="Q42" s="11" t="n">
        <f aca="false">SUM(INDEX($C$41:$AL$41,MAX(1,Q$2-11)):Q41)</f>
        <v>71063.9166666667</v>
      </c>
      <c r="R42" s="11" t="n">
        <f aca="false">SUM(INDEX($C$41:$AL$41,MAX(1,R$2-11)):R41)</f>
        <v>106271.208333333</v>
      </c>
      <c r="S42" s="11" t="n">
        <f aca="false">SUM(INDEX($C$41:$AL$41,MAX(1,S$2-11)):S41)</f>
        <v>127801</v>
      </c>
      <c r="T42" s="11" t="n">
        <f aca="false">SUM(INDEX($C$41:$AL$41,MAX(1,T$2-11)):T41)</f>
        <v>145870.166666667</v>
      </c>
      <c r="U42" s="11" t="n">
        <f aca="false">SUM(INDEX($C$41:$AL$41,MAX(1,U$2-11)):U41)</f>
        <v>184213.708333333</v>
      </c>
      <c r="V42" s="11" t="n">
        <f aca="false">SUM(INDEX($C$41:$AL$41,MAX(1,V$2-11)):V41)</f>
        <v>200874.125</v>
      </c>
      <c r="W42" s="11" t="n">
        <f aca="false">SUM(INDEX($C$41:$AL$41,MAX(1,W$2-11)):W41)</f>
        <v>229249.541666667</v>
      </c>
      <c r="X42" s="11" t="n">
        <f aca="false">SUM(INDEX($C$41:$AL$41,MAX(1,X$2-11)):X41)</f>
        <v>252864.333333333</v>
      </c>
      <c r="Y42" s="11" t="n">
        <f aca="false">SUM(INDEX($C$41:$AL$41,MAX(1,Y$2-11)):Y41)</f>
        <v>269456.625</v>
      </c>
      <c r="Z42" s="11" t="n">
        <f aca="false">SUM(INDEX($C$41:$AL$41,MAX(1,Z$2-11)):Z41)</f>
        <v>283485.791666667</v>
      </c>
      <c r="AA42" s="11" t="n">
        <f aca="false">SUM(INDEX($C$41:$AL$41,MAX(1,AA$2-11)):AA41)</f>
        <v>307692.514583333</v>
      </c>
      <c r="AB42" s="11" t="n">
        <f aca="false">SUM(INDEX($C$41:$AL$41,MAX(1,AB$2-11)):AB41)</f>
        <v>326510.497916667</v>
      </c>
      <c r="AC42" s="11" t="n">
        <f aca="false">SUM(INDEX($C$41:$AL$41,MAX(1,AC$2-11)):AC41)</f>
        <v>368381.95</v>
      </c>
      <c r="AD42" s="11" t="n">
        <f aca="false">SUM(INDEX($C$41:$AL$41,MAX(1,AD$2-11)):AD41)</f>
        <v>378209.870833333</v>
      </c>
      <c r="AE42" s="11" t="n">
        <f aca="false">SUM(INDEX($C$41:$AL$41,MAX(1,AE$2-11)):AE41)</f>
        <v>401061.416666667</v>
      </c>
      <c r="AF42" s="11" t="n">
        <f aca="false">SUM(INDEX($C$41:$AL$41,MAX(1,AF$2-11)):AF41)</f>
        <v>455190.05625</v>
      </c>
      <c r="AG42" s="11" t="n">
        <f aca="false">SUM(INDEX($C$41:$AL$41,MAX(1,AG$2-11)):AG41)</f>
        <v>467458.289583333</v>
      </c>
      <c r="AH42" s="11" t="n">
        <f aca="false">SUM(INDEX($C$41:$AL$41,MAX(1,AH$2-11)):AH41)</f>
        <v>488888.616666667</v>
      </c>
      <c r="AI42" s="11" t="n">
        <f aca="false">SUM(INDEX($C$41:$AL$41,MAX(1,AI$2-11)):AI41)</f>
        <v>534041.7875</v>
      </c>
      <c r="AJ42" s="11" t="n">
        <f aca="false">SUM(INDEX($C$41:$AL$41,MAX(1,AJ$2-11)):AJ41)</f>
        <v>545107.052083333</v>
      </c>
      <c r="AK42" s="11" t="n">
        <f aca="false">SUM(INDEX($C$41:$AL$41,MAX(1,AK$2-11)):AK41)</f>
        <v>583320.941666667</v>
      </c>
      <c r="AL42" s="11" t="n">
        <f aca="false">SUM(INDEX($C$41:$AL$41,MAX(1,AL$2-11)):AL41)</f>
        <v>625051.925</v>
      </c>
    </row>
    <row r="43" customFormat="false" ht="15" hidden="false" customHeight="false" outlineLevel="0" collapsed="false">
      <c r="A43" s="14" t="s">
        <v>225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customFormat="false" ht="15" hidden="false" customHeight="false" outlineLevel="0" collapsed="false">
      <c r="A44" s="2" t="s">
        <v>226</v>
      </c>
      <c r="B44" s="4"/>
      <c r="C44" s="11" t="n">
        <f aca="false">IF(C$2=Inputs!$F$52,Inputs!$F$53,0)</f>
        <v>35000</v>
      </c>
      <c r="D44" s="11" t="n">
        <f aca="false">IF(D$2=Inputs!$F$52,Inputs!$F$53,0)</f>
        <v>0</v>
      </c>
      <c r="E44" s="11" t="n">
        <f aca="false">IF(E$2=Inputs!$F$52,Inputs!$F$53,0)</f>
        <v>0</v>
      </c>
      <c r="F44" s="11" t="n">
        <f aca="false">IF(F$2=Inputs!$F$52,Inputs!$F$53,0)</f>
        <v>0</v>
      </c>
      <c r="G44" s="11" t="n">
        <f aca="false">IF(G$2=Inputs!$F$52,Inputs!$F$53,0)</f>
        <v>0</v>
      </c>
      <c r="H44" s="11" t="n">
        <f aca="false">IF(H$2=Inputs!$F$52,Inputs!$F$53,0)</f>
        <v>0</v>
      </c>
      <c r="I44" s="11" t="n">
        <f aca="false">IF(I$2=Inputs!$F$52,Inputs!$F$53,0)</f>
        <v>0</v>
      </c>
      <c r="J44" s="11" t="n">
        <f aca="false">IF(J$2=Inputs!$F$52,Inputs!$F$53,0)</f>
        <v>0</v>
      </c>
      <c r="K44" s="11" t="n">
        <f aca="false">IF(K$2=Inputs!$F$52,Inputs!$F$53,0)</f>
        <v>0</v>
      </c>
      <c r="L44" s="11" t="n">
        <f aca="false">IF(L$2=Inputs!$F$52,Inputs!$F$53,0)</f>
        <v>0</v>
      </c>
      <c r="M44" s="11" t="n">
        <f aca="false">IF(M$2=Inputs!$F$52,Inputs!$F$53,0)</f>
        <v>0</v>
      </c>
      <c r="N44" s="11" t="n">
        <f aca="false">IF(N$2=Inputs!$F$52,Inputs!$F$53,0)</f>
        <v>0</v>
      </c>
      <c r="O44" s="11" t="n">
        <f aca="false">IF(O$2=Inputs!$F$52,Inputs!$F$53,0)</f>
        <v>0</v>
      </c>
      <c r="P44" s="11" t="n">
        <f aca="false">IF(P$2=Inputs!$F$52,Inputs!$F$53,0)</f>
        <v>0</v>
      </c>
      <c r="Q44" s="11" t="n">
        <f aca="false">IF(Q$2=Inputs!$F$52,Inputs!$F$53,0)</f>
        <v>0</v>
      </c>
      <c r="R44" s="11" t="n">
        <f aca="false">IF(R$2=Inputs!$F$52,Inputs!$F$53,0)</f>
        <v>0</v>
      </c>
      <c r="S44" s="11" t="n">
        <f aca="false">IF(S$2=Inputs!$F$52,Inputs!$F$53,0)</f>
        <v>0</v>
      </c>
      <c r="T44" s="11" t="n">
        <f aca="false">IF(T$2=Inputs!$F$52,Inputs!$F$53,0)</f>
        <v>0</v>
      </c>
      <c r="U44" s="11" t="n">
        <f aca="false">IF(U$2=Inputs!$F$52,Inputs!$F$53,0)</f>
        <v>0</v>
      </c>
      <c r="V44" s="11" t="n">
        <f aca="false">IF(V$2=Inputs!$F$52,Inputs!$F$53,0)</f>
        <v>0</v>
      </c>
      <c r="W44" s="11" t="n">
        <f aca="false">IF(W$2=Inputs!$F$52,Inputs!$F$53,0)</f>
        <v>0</v>
      </c>
      <c r="X44" s="11" t="n">
        <f aca="false">IF(X$2=Inputs!$F$52,Inputs!$F$53,0)</f>
        <v>0</v>
      </c>
      <c r="Y44" s="11" t="n">
        <f aca="false">IF(Y$2=Inputs!$F$52,Inputs!$F$53,0)</f>
        <v>0</v>
      </c>
      <c r="Z44" s="11" t="n">
        <f aca="false">IF(Z$2=Inputs!$F$52,Inputs!$F$53,0)</f>
        <v>0</v>
      </c>
      <c r="AA44" s="11" t="n">
        <f aca="false">IF(AA$2=Inputs!$F$52,Inputs!$F$53,0)</f>
        <v>0</v>
      </c>
      <c r="AB44" s="11" t="n">
        <f aca="false">IF(AB$2=Inputs!$F$52,Inputs!$F$53,0)</f>
        <v>0</v>
      </c>
      <c r="AC44" s="11" t="n">
        <f aca="false">IF(AC$2=Inputs!$F$52,Inputs!$F$53,0)</f>
        <v>0</v>
      </c>
      <c r="AD44" s="11" t="n">
        <f aca="false">IF(AD$2=Inputs!$F$52,Inputs!$F$53,0)</f>
        <v>0</v>
      </c>
      <c r="AE44" s="11" t="n">
        <f aca="false">IF(AE$2=Inputs!$F$52,Inputs!$F$53,0)</f>
        <v>0</v>
      </c>
      <c r="AF44" s="11" t="n">
        <f aca="false">IF(AF$2=Inputs!$F$52,Inputs!$F$53,0)</f>
        <v>0</v>
      </c>
      <c r="AG44" s="11" t="n">
        <f aca="false">IF(AG$2=Inputs!$F$52,Inputs!$F$53,0)</f>
        <v>0</v>
      </c>
      <c r="AH44" s="11" t="n">
        <f aca="false">IF(AH$2=Inputs!$F$52,Inputs!$F$53,0)</f>
        <v>0</v>
      </c>
      <c r="AI44" s="11" t="n">
        <f aca="false">IF(AI$2=Inputs!$F$52,Inputs!$F$53,0)</f>
        <v>0</v>
      </c>
      <c r="AJ44" s="11" t="n">
        <f aca="false">IF(AJ$2=Inputs!$F$52,Inputs!$F$53,0)</f>
        <v>0</v>
      </c>
      <c r="AK44" s="11" t="n">
        <f aca="false">IF(AK$2=Inputs!$F$52,Inputs!$F$53,0)</f>
        <v>0</v>
      </c>
      <c r="AL44" s="11" t="n">
        <f aca="false">IF(AL$2=Inputs!$F$52,Inputs!$F$53,0)</f>
        <v>0</v>
      </c>
    </row>
    <row r="45" customFormat="false" ht="15" hidden="false" customHeight="false" outlineLevel="0" collapsed="false">
      <c r="A45" s="2" t="s">
        <v>227</v>
      </c>
      <c r="B45" s="4"/>
      <c r="C45" s="11" t="n">
        <f aca="false">IF(C$2=1,Inputs!$F$54,0)</f>
        <v>0</v>
      </c>
      <c r="D45" s="11" t="n">
        <f aca="false">IF(D$2=1,Inputs!$F$54,0)</f>
        <v>0</v>
      </c>
      <c r="E45" s="11" t="n">
        <f aca="false">IF(E$2=1,Inputs!$F$54,0)</f>
        <v>0</v>
      </c>
      <c r="F45" s="11" t="n">
        <f aca="false">IF(F$2=1,Inputs!$F$54,0)</f>
        <v>0</v>
      </c>
      <c r="G45" s="11" t="n">
        <f aca="false">IF(G$2=1,Inputs!$F$54,0)</f>
        <v>0</v>
      </c>
      <c r="H45" s="11" t="n">
        <f aca="false">IF(H$2=1,Inputs!$F$54,0)</f>
        <v>0</v>
      </c>
      <c r="I45" s="11" t="n">
        <f aca="false">IF(I$2=1,Inputs!$F$54,0)</f>
        <v>0</v>
      </c>
      <c r="J45" s="11" t="n">
        <f aca="false">IF(J$2=1,Inputs!$F$54,0)</f>
        <v>0</v>
      </c>
      <c r="K45" s="11" t="n">
        <f aca="false">IF(K$2=1,Inputs!$F$54,0)</f>
        <v>0</v>
      </c>
      <c r="L45" s="11" t="n">
        <f aca="false">IF(L$2=1,Inputs!$F$54,0)</f>
        <v>0</v>
      </c>
      <c r="M45" s="11" t="n">
        <f aca="false">IF(M$2=1,Inputs!$F$54,0)</f>
        <v>0</v>
      </c>
      <c r="N45" s="11" t="n">
        <f aca="false">IF(N$2=1,Inputs!$F$54,0)</f>
        <v>0</v>
      </c>
      <c r="O45" s="11" t="n">
        <f aca="false">IF(O$2=1,Inputs!$F$54,0)</f>
        <v>0</v>
      </c>
      <c r="P45" s="11" t="n">
        <f aca="false">IF(P$2=1,Inputs!$F$54,0)</f>
        <v>0</v>
      </c>
      <c r="Q45" s="11" t="n">
        <f aca="false">IF(Q$2=1,Inputs!$F$54,0)</f>
        <v>0</v>
      </c>
      <c r="R45" s="11" t="n">
        <f aca="false">IF(R$2=1,Inputs!$F$54,0)</f>
        <v>0</v>
      </c>
      <c r="S45" s="11" t="n">
        <f aca="false">IF(S$2=1,Inputs!$F$54,0)</f>
        <v>0</v>
      </c>
      <c r="T45" s="11" t="n">
        <f aca="false">IF(T$2=1,Inputs!$F$54,0)</f>
        <v>0</v>
      </c>
      <c r="U45" s="11" t="n">
        <f aca="false">IF(U$2=1,Inputs!$F$54,0)</f>
        <v>0</v>
      </c>
      <c r="V45" s="11" t="n">
        <f aca="false">IF(V$2=1,Inputs!$F$54,0)</f>
        <v>0</v>
      </c>
      <c r="W45" s="11" t="n">
        <f aca="false">IF(W$2=1,Inputs!$F$54,0)</f>
        <v>0</v>
      </c>
      <c r="X45" s="11" t="n">
        <f aca="false">IF(X$2=1,Inputs!$F$54,0)</f>
        <v>0</v>
      </c>
      <c r="Y45" s="11" t="n">
        <f aca="false">IF(Y$2=1,Inputs!$F$54,0)</f>
        <v>0</v>
      </c>
      <c r="Z45" s="11" t="n">
        <f aca="false">IF(Z$2=1,Inputs!$F$54,0)</f>
        <v>0</v>
      </c>
      <c r="AA45" s="11" t="n">
        <f aca="false">IF(AA$2=1,Inputs!$F$54,0)</f>
        <v>0</v>
      </c>
      <c r="AB45" s="11" t="n">
        <f aca="false">IF(AB$2=1,Inputs!$F$54,0)</f>
        <v>0</v>
      </c>
      <c r="AC45" s="11" t="n">
        <f aca="false">IF(AC$2=1,Inputs!$F$54,0)</f>
        <v>0</v>
      </c>
      <c r="AD45" s="11" t="n">
        <f aca="false">IF(AD$2=1,Inputs!$F$54,0)</f>
        <v>0</v>
      </c>
      <c r="AE45" s="11" t="n">
        <f aca="false">IF(AE$2=1,Inputs!$F$54,0)</f>
        <v>0</v>
      </c>
      <c r="AF45" s="11" t="n">
        <f aca="false">IF(AF$2=1,Inputs!$F$54,0)</f>
        <v>0</v>
      </c>
      <c r="AG45" s="11" t="n">
        <f aca="false">IF(AG$2=1,Inputs!$F$54,0)</f>
        <v>0</v>
      </c>
      <c r="AH45" s="11" t="n">
        <f aca="false">IF(AH$2=1,Inputs!$F$54,0)</f>
        <v>0</v>
      </c>
      <c r="AI45" s="11" t="n">
        <f aca="false">IF(AI$2=1,Inputs!$F$54,0)</f>
        <v>0</v>
      </c>
      <c r="AJ45" s="11" t="n">
        <f aca="false">IF(AJ$2=1,Inputs!$F$54,0)</f>
        <v>0</v>
      </c>
      <c r="AK45" s="11" t="n">
        <f aca="false">IF(AK$2=1,Inputs!$F$54,0)</f>
        <v>0</v>
      </c>
      <c r="AL45" s="11" t="n">
        <f aca="false">IF(AL$2=1,Inputs!$F$54,0)</f>
        <v>0</v>
      </c>
    </row>
    <row r="46" customFormat="false" ht="15" hidden="false" customHeight="false" outlineLevel="0" collapsed="false">
      <c r="A46" s="2" t="s">
        <v>228</v>
      </c>
      <c r="B46" s="4"/>
      <c r="C46" s="11" t="n">
        <f aca="false">IF(C$2=Inputs!$F$55,Inputs!$F$56,0)</f>
        <v>0</v>
      </c>
      <c r="D46" s="11" t="n">
        <f aca="false">IF(D$2=Inputs!$F$55,Inputs!$F$56,0)</f>
        <v>0</v>
      </c>
      <c r="E46" s="11" t="n">
        <f aca="false">IF(E$2=Inputs!$F$55,Inputs!$F$56,0)</f>
        <v>0</v>
      </c>
      <c r="F46" s="11" t="n">
        <f aca="false">IF(F$2=Inputs!$F$55,Inputs!$F$56,0)</f>
        <v>0</v>
      </c>
      <c r="G46" s="11" t="n">
        <f aca="false">IF(G$2=Inputs!$F$55,Inputs!$F$56,0)</f>
        <v>200000</v>
      </c>
      <c r="H46" s="11" t="n">
        <f aca="false">IF(H$2=Inputs!$F$55,Inputs!$F$56,0)</f>
        <v>0</v>
      </c>
      <c r="I46" s="11" t="n">
        <f aca="false">IF(I$2=Inputs!$F$55,Inputs!$F$56,0)</f>
        <v>0</v>
      </c>
      <c r="J46" s="11" t="n">
        <f aca="false">IF(J$2=Inputs!$F$55,Inputs!$F$56,0)</f>
        <v>0</v>
      </c>
      <c r="K46" s="11" t="n">
        <f aca="false">IF(K$2=Inputs!$F$55,Inputs!$F$56,0)</f>
        <v>0</v>
      </c>
      <c r="L46" s="11" t="n">
        <f aca="false">IF(L$2=Inputs!$F$55,Inputs!$F$56,0)</f>
        <v>0</v>
      </c>
      <c r="M46" s="11" t="n">
        <f aca="false">IF(M$2=Inputs!$F$55,Inputs!$F$56,0)</f>
        <v>0</v>
      </c>
      <c r="N46" s="11" t="n">
        <f aca="false">IF(N$2=Inputs!$F$55,Inputs!$F$56,0)</f>
        <v>0</v>
      </c>
      <c r="O46" s="11" t="n">
        <f aca="false">IF(O$2=Inputs!$F$55,Inputs!$F$56,0)</f>
        <v>0</v>
      </c>
      <c r="P46" s="11" t="n">
        <f aca="false">IF(P$2=Inputs!$F$55,Inputs!$F$56,0)</f>
        <v>0</v>
      </c>
      <c r="Q46" s="11" t="n">
        <f aca="false">IF(Q$2=Inputs!$F$55,Inputs!$F$56,0)</f>
        <v>0</v>
      </c>
      <c r="R46" s="11" t="n">
        <f aca="false">IF(R$2=Inputs!$F$55,Inputs!$F$56,0)</f>
        <v>0</v>
      </c>
      <c r="S46" s="11" t="n">
        <f aca="false">IF(S$2=Inputs!$F$55,Inputs!$F$56,0)</f>
        <v>0</v>
      </c>
      <c r="T46" s="11" t="n">
        <f aca="false">IF(T$2=Inputs!$F$55,Inputs!$F$56,0)</f>
        <v>0</v>
      </c>
      <c r="U46" s="11" t="n">
        <f aca="false">IF(U$2=Inputs!$F$55,Inputs!$F$56,0)</f>
        <v>0</v>
      </c>
      <c r="V46" s="11" t="n">
        <f aca="false">IF(V$2=Inputs!$F$55,Inputs!$F$56,0)</f>
        <v>0</v>
      </c>
      <c r="W46" s="11" t="n">
        <f aca="false">IF(W$2=Inputs!$F$55,Inputs!$F$56,0)</f>
        <v>0</v>
      </c>
      <c r="X46" s="11" t="n">
        <f aca="false">IF(X$2=Inputs!$F$55,Inputs!$F$56,0)</f>
        <v>0</v>
      </c>
      <c r="Y46" s="11" t="n">
        <f aca="false">IF(Y$2=Inputs!$F$55,Inputs!$F$56,0)</f>
        <v>0</v>
      </c>
      <c r="Z46" s="11" t="n">
        <f aca="false">IF(Z$2=Inputs!$F$55,Inputs!$F$56,0)</f>
        <v>0</v>
      </c>
      <c r="AA46" s="11" t="n">
        <f aca="false">IF(AA$2=Inputs!$F$55,Inputs!$F$56,0)</f>
        <v>0</v>
      </c>
      <c r="AB46" s="11" t="n">
        <f aca="false">IF(AB$2=Inputs!$F$55,Inputs!$F$56,0)</f>
        <v>0</v>
      </c>
      <c r="AC46" s="11" t="n">
        <f aca="false">IF(AC$2=Inputs!$F$55,Inputs!$F$56,0)</f>
        <v>0</v>
      </c>
      <c r="AD46" s="11" t="n">
        <f aca="false">IF(AD$2=Inputs!$F$55,Inputs!$F$56,0)</f>
        <v>0</v>
      </c>
      <c r="AE46" s="11" t="n">
        <f aca="false">IF(AE$2=Inputs!$F$55,Inputs!$F$56,0)</f>
        <v>0</v>
      </c>
      <c r="AF46" s="11" t="n">
        <f aca="false">IF(AF$2=Inputs!$F$55,Inputs!$F$56,0)</f>
        <v>0</v>
      </c>
      <c r="AG46" s="11" t="n">
        <f aca="false">IF(AG$2=Inputs!$F$55,Inputs!$F$56,0)</f>
        <v>0</v>
      </c>
      <c r="AH46" s="11" t="n">
        <f aca="false">IF(AH$2=Inputs!$F$55,Inputs!$F$56,0)</f>
        <v>0</v>
      </c>
      <c r="AI46" s="11" t="n">
        <f aca="false">IF(AI$2=Inputs!$F$55,Inputs!$F$56,0)</f>
        <v>0</v>
      </c>
      <c r="AJ46" s="11" t="n">
        <f aca="false">IF(AJ$2=Inputs!$F$55,Inputs!$F$56,0)</f>
        <v>0</v>
      </c>
      <c r="AK46" s="11" t="n">
        <f aca="false">IF(AK$2=Inputs!$F$55,Inputs!$F$56,0)</f>
        <v>0</v>
      </c>
      <c r="AL46" s="11" t="n">
        <f aca="false">IF(AL$2=Inputs!$F$55,Inputs!$F$56,0)</f>
        <v>0</v>
      </c>
    </row>
    <row r="47" customFormat="false" ht="15" hidden="false" customHeight="false" outlineLevel="0" collapsed="false">
      <c r="A47" s="2" t="s">
        <v>229</v>
      </c>
      <c r="B47" s="4"/>
      <c r="C47" s="11" t="n">
        <f aca="false">IF(C$2=Inputs!$F$59,Inputs!$F$60,0)</f>
        <v>0</v>
      </c>
      <c r="D47" s="11" t="n">
        <f aca="false">IF(D$2=Inputs!$F$59,Inputs!$F$60,0)</f>
        <v>0</v>
      </c>
      <c r="E47" s="11" t="n">
        <f aca="false">IF(E$2=Inputs!$F$59,Inputs!$F$60,0)</f>
        <v>0</v>
      </c>
      <c r="F47" s="11" t="n">
        <f aca="false">IF(F$2=Inputs!$F$59,Inputs!$F$60,0)</f>
        <v>0</v>
      </c>
      <c r="G47" s="11" t="n">
        <f aca="false">IF(G$2=Inputs!$F$59,Inputs!$F$60,0)</f>
        <v>200000</v>
      </c>
      <c r="H47" s="11" t="n">
        <f aca="false">IF(H$2=Inputs!$F$59,Inputs!$F$60,0)</f>
        <v>0</v>
      </c>
      <c r="I47" s="11" t="n">
        <f aca="false">IF(I$2=Inputs!$F$59,Inputs!$F$60,0)</f>
        <v>0</v>
      </c>
      <c r="J47" s="11" t="n">
        <f aca="false">IF(J$2=Inputs!$F$59,Inputs!$F$60,0)</f>
        <v>0</v>
      </c>
      <c r="K47" s="11" t="n">
        <f aca="false">IF(K$2=Inputs!$F$59,Inputs!$F$60,0)</f>
        <v>0</v>
      </c>
      <c r="L47" s="11" t="n">
        <f aca="false">IF(L$2=Inputs!$F$59,Inputs!$F$60,0)</f>
        <v>0</v>
      </c>
      <c r="M47" s="11" t="n">
        <f aca="false">IF(M$2=Inputs!$F$59,Inputs!$F$60,0)</f>
        <v>0</v>
      </c>
      <c r="N47" s="11" t="n">
        <f aca="false">IF(N$2=Inputs!$F$59,Inputs!$F$60,0)</f>
        <v>0</v>
      </c>
      <c r="O47" s="11" t="n">
        <f aca="false">IF(O$2=Inputs!$F$59,Inputs!$F$60,0)</f>
        <v>0</v>
      </c>
      <c r="P47" s="11" t="n">
        <f aca="false">IF(P$2=Inputs!$F$59,Inputs!$F$60,0)</f>
        <v>0</v>
      </c>
      <c r="Q47" s="11" t="n">
        <f aca="false">IF(Q$2=Inputs!$F$59,Inputs!$F$60,0)</f>
        <v>0</v>
      </c>
      <c r="R47" s="11" t="n">
        <f aca="false">IF(R$2=Inputs!$F$59,Inputs!$F$60,0)</f>
        <v>0</v>
      </c>
      <c r="S47" s="11" t="n">
        <f aca="false">IF(S$2=Inputs!$F$59,Inputs!$F$60,0)</f>
        <v>0</v>
      </c>
      <c r="T47" s="11" t="n">
        <f aca="false">IF(T$2=Inputs!$F$59,Inputs!$F$60,0)</f>
        <v>0</v>
      </c>
      <c r="U47" s="11" t="n">
        <f aca="false">IF(U$2=Inputs!$F$59,Inputs!$F$60,0)</f>
        <v>0</v>
      </c>
      <c r="V47" s="11" t="n">
        <f aca="false">IF(V$2=Inputs!$F$59,Inputs!$F$60,0)</f>
        <v>0</v>
      </c>
      <c r="W47" s="11" t="n">
        <f aca="false">IF(W$2=Inputs!$F$59,Inputs!$F$60,0)</f>
        <v>0</v>
      </c>
      <c r="X47" s="11" t="n">
        <f aca="false">IF(X$2=Inputs!$F$59,Inputs!$F$60,0)</f>
        <v>0</v>
      </c>
      <c r="Y47" s="11" t="n">
        <f aca="false">IF(Y$2=Inputs!$F$59,Inputs!$F$60,0)</f>
        <v>0</v>
      </c>
      <c r="Z47" s="11" t="n">
        <f aca="false">IF(Z$2=Inputs!$F$59,Inputs!$F$60,0)</f>
        <v>0</v>
      </c>
      <c r="AA47" s="11" t="n">
        <f aca="false">IF(AA$2=Inputs!$F$59,Inputs!$F$60,0)</f>
        <v>0</v>
      </c>
      <c r="AB47" s="11" t="n">
        <f aca="false">IF(AB$2=Inputs!$F$59,Inputs!$F$60,0)</f>
        <v>0</v>
      </c>
      <c r="AC47" s="11" t="n">
        <f aca="false">IF(AC$2=Inputs!$F$59,Inputs!$F$60,0)</f>
        <v>0</v>
      </c>
      <c r="AD47" s="11" t="n">
        <f aca="false">IF(AD$2=Inputs!$F$59,Inputs!$F$60,0)</f>
        <v>0</v>
      </c>
      <c r="AE47" s="11" t="n">
        <f aca="false">IF(AE$2=Inputs!$F$59,Inputs!$F$60,0)</f>
        <v>0</v>
      </c>
      <c r="AF47" s="11" t="n">
        <f aca="false">IF(AF$2=Inputs!$F$59,Inputs!$F$60,0)</f>
        <v>0</v>
      </c>
      <c r="AG47" s="11" t="n">
        <f aca="false">IF(AG$2=Inputs!$F$59,Inputs!$F$60,0)</f>
        <v>0</v>
      </c>
      <c r="AH47" s="11" t="n">
        <f aca="false">IF(AH$2=Inputs!$F$59,Inputs!$F$60,0)</f>
        <v>0</v>
      </c>
      <c r="AI47" s="11" t="n">
        <f aca="false">IF(AI$2=Inputs!$F$59,Inputs!$F$60,0)</f>
        <v>0</v>
      </c>
      <c r="AJ47" s="11" t="n">
        <f aca="false">IF(AJ$2=Inputs!$F$59,Inputs!$F$60,0)</f>
        <v>0</v>
      </c>
      <c r="AK47" s="11" t="n">
        <f aca="false">IF(AK$2=Inputs!$F$59,Inputs!$F$60,0)</f>
        <v>0</v>
      </c>
      <c r="AL47" s="11" t="n">
        <f aca="false">IF(AL$2=Inputs!$F$59,Inputs!$F$60,0)</f>
        <v>0</v>
      </c>
    </row>
    <row r="48" customFormat="false" ht="15" hidden="false" customHeight="false" outlineLevel="0" collapsed="false">
      <c r="A48" s="2" t="s">
        <v>230</v>
      </c>
      <c r="B48" s="4"/>
      <c r="C48" s="11" t="n">
        <f aca="false">0</f>
        <v>0</v>
      </c>
      <c r="D48" s="11" t="n">
        <f aca="false">C51</f>
        <v>0</v>
      </c>
      <c r="E48" s="11" t="n">
        <f aca="false">D51</f>
        <v>0</v>
      </c>
      <c r="F48" s="11" t="n">
        <f aca="false">E51</f>
        <v>0</v>
      </c>
      <c r="G48" s="11" t="n">
        <f aca="false">F51</f>
        <v>0</v>
      </c>
      <c r="H48" s="11" t="n">
        <f aca="false">G51</f>
        <v>200000</v>
      </c>
      <c r="I48" s="11" t="n">
        <f aca="false">H51</f>
        <v>199051.300064489</v>
      </c>
      <c r="J48" s="11" t="n">
        <f aca="false">I51</f>
        <v>198094.299004542</v>
      </c>
      <c r="K48" s="11" t="n">
        <f aca="false">J51</f>
        <v>197128.924185321</v>
      </c>
      <c r="L48" s="11" t="n">
        <f aca="false">K51</f>
        <v>196155.102336432</v>
      </c>
      <c r="M48" s="11" t="n">
        <f aca="false">L51</f>
        <v>195172.759546365</v>
      </c>
      <c r="N48" s="11" t="n">
        <f aca="false">M51</f>
        <v>194181.821256885</v>
      </c>
      <c r="O48" s="11" t="n">
        <f aca="false">N51</f>
        <v>193182.212257371</v>
      </c>
      <c r="P48" s="11" t="n">
        <f aca="false">O51</f>
        <v>192173.856679112</v>
      </c>
      <c r="Q48" s="11" t="n">
        <f aca="false">P51</f>
        <v>191156.677989544</v>
      </c>
      <c r="R48" s="11" t="n">
        <f aca="false">Q51</f>
        <v>190130.598986441</v>
      </c>
      <c r="S48" s="11" t="n">
        <f aca="false">R51</f>
        <v>189095.541792062</v>
      </c>
      <c r="T48" s="11" t="n">
        <f aca="false">S51</f>
        <v>188051.427847231</v>
      </c>
      <c r="U48" s="11" t="n">
        <f aca="false">T51</f>
        <v>186998.177905384</v>
      </c>
      <c r="V48" s="11" t="n">
        <f aca="false">U51</f>
        <v>185935.712026545</v>
      </c>
      <c r="W48" s="11" t="n">
        <f aca="false">V51</f>
        <v>184863.949571266</v>
      </c>
      <c r="X48" s="11" t="n">
        <f aca="false">W51</f>
        <v>183782.809194504</v>
      </c>
      <c r="Y48" s="11" t="n">
        <f aca="false">X51</f>
        <v>182692.208839445</v>
      </c>
      <c r="Z48" s="11" t="n">
        <f aca="false">Y51</f>
        <v>181592.065731279</v>
      </c>
      <c r="AA48" s="11" t="n">
        <f aca="false">Z51</f>
        <v>180482.296370917</v>
      </c>
      <c r="AB48" s="11" t="n">
        <f aca="false">AA51</f>
        <v>179362.816528651</v>
      </c>
      <c r="AC48" s="11" t="n">
        <f aca="false">AB51</f>
        <v>178233.541237766</v>
      </c>
      <c r="AD48" s="11" t="n">
        <f aca="false">AC51</f>
        <v>177094.384788086</v>
      </c>
      <c r="AE48" s="11" t="n">
        <f aca="false">AD51</f>
        <v>175945.260719471</v>
      </c>
      <c r="AF48" s="11" t="n">
        <f aca="false">AE51</f>
        <v>174786.081815255</v>
      </c>
      <c r="AG48" s="11" t="n">
        <f aca="false">AF51</f>
        <v>173616.760095627</v>
      </c>
      <c r="AH48" s="11" t="n">
        <f aca="false">AG51</f>
        <v>172437.206810953</v>
      </c>
      <c r="AI48" s="11" t="n">
        <f aca="false">AH51</f>
        <v>171247.332435038</v>
      </c>
      <c r="AJ48" s="11" t="n">
        <f aca="false">AI51</f>
        <v>170047.046658334</v>
      </c>
      <c r="AK48" s="11" t="n">
        <f aca="false">AJ51</f>
        <v>168836.258381083</v>
      </c>
      <c r="AL48" s="11" t="n">
        <f aca="false">AK51</f>
        <v>167614.875706407</v>
      </c>
    </row>
    <row r="49" customFormat="false" ht="15" hidden="false" customHeight="false" outlineLevel="0" collapsed="false">
      <c r="A49" s="2" t="s">
        <v>231</v>
      </c>
      <c r="B49" s="4"/>
      <c r="C49" s="11" t="n">
        <f aca="false">C48*Inputs!$F$57/12</f>
        <v>0</v>
      </c>
      <c r="D49" s="11" t="n">
        <f aca="false">D48*Inputs!$F$57/12</f>
        <v>0</v>
      </c>
      <c r="E49" s="11" t="n">
        <f aca="false">E48*Inputs!$F$57/12</f>
        <v>0</v>
      </c>
      <c r="F49" s="11" t="n">
        <f aca="false">F48*Inputs!$F$57/12</f>
        <v>0</v>
      </c>
      <c r="G49" s="11" t="n">
        <f aca="false">G48*Inputs!$F$57/12</f>
        <v>0</v>
      </c>
      <c r="H49" s="11" t="n">
        <f aca="false">H48*Inputs!$F$57/12</f>
        <v>1750</v>
      </c>
      <c r="I49" s="11" t="n">
        <f aca="false">I48*Inputs!$F$57/12</f>
        <v>1741.69887556428</v>
      </c>
      <c r="J49" s="11" t="n">
        <f aca="false">J48*Inputs!$F$57/12</f>
        <v>1733.32511628975</v>
      </c>
      <c r="K49" s="11" t="n">
        <f aca="false">K48*Inputs!$F$57/12</f>
        <v>1724.87808662156</v>
      </c>
      <c r="L49" s="11" t="n">
        <f aca="false">L48*Inputs!$F$57/12</f>
        <v>1716.35714544378</v>
      </c>
      <c r="M49" s="11" t="n">
        <f aca="false">M48*Inputs!$F$57/12</f>
        <v>1707.76164603069</v>
      </c>
      <c r="N49" s="11" t="n">
        <f aca="false">N48*Inputs!$F$57/12</f>
        <v>1699.09093599774</v>
      </c>
      <c r="O49" s="11" t="n">
        <f aca="false">O48*Inputs!$F$57/12</f>
        <v>1690.344357252</v>
      </c>
      <c r="P49" s="11" t="n">
        <f aca="false">P48*Inputs!$F$57/12</f>
        <v>1681.52124594223</v>
      </c>
      <c r="Q49" s="11" t="n">
        <f aca="false">Q48*Inputs!$F$57/12</f>
        <v>1672.62093240851</v>
      </c>
      <c r="R49" s="11" t="n">
        <f aca="false">R48*Inputs!$F$57/12</f>
        <v>1663.64274113136</v>
      </c>
      <c r="S49" s="11" t="n">
        <f aca="false">S48*Inputs!$F$57/12</f>
        <v>1654.58599068054</v>
      </c>
      <c r="T49" s="11" t="n">
        <f aca="false">T48*Inputs!$F$57/12</f>
        <v>1645.44999366327</v>
      </c>
      <c r="U49" s="11" t="n">
        <f aca="false">U48*Inputs!$F$57/12</f>
        <v>1636.23405667211</v>
      </c>
      <c r="V49" s="11" t="n">
        <f aca="false">V48*Inputs!$F$57/12</f>
        <v>1626.93748023227</v>
      </c>
      <c r="W49" s="11" t="n">
        <f aca="false">W48*Inputs!$F$57/12</f>
        <v>1617.55955874858</v>
      </c>
      <c r="X49" s="11" t="n">
        <f aca="false">X48*Inputs!$F$57/12</f>
        <v>1608.09958045191</v>
      </c>
      <c r="Y49" s="11" t="n">
        <f aca="false">Y48*Inputs!$F$57/12</f>
        <v>1598.55682734514</v>
      </c>
      <c r="Z49" s="11" t="n">
        <f aca="false">Z48*Inputs!$F$57/12</f>
        <v>1588.93057514869</v>
      </c>
      <c r="AA49" s="11" t="n">
        <f aca="false">AA48*Inputs!$F$57/12</f>
        <v>1579.22009324552</v>
      </c>
      <c r="AB49" s="11" t="n">
        <f aca="false">AB48*Inputs!$F$57/12</f>
        <v>1569.4246446257</v>
      </c>
      <c r="AC49" s="11" t="n">
        <f aca="false">AC48*Inputs!$F$57/12</f>
        <v>1559.54348583045</v>
      </c>
      <c r="AD49" s="11" t="n">
        <f aca="false">AD48*Inputs!$F$57/12</f>
        <v>1549.57586689575</v>
      </c>
      <c r="AE49" s="11" t="n">
        <f aca="false">AE48*Inputs!$F$57/12</f>
        <v>1539.52103129537</v>
      </c>
      <c r="AF49" s="11" t="n">
        <f aca="false">AF48*Inputs!$F$57/12</f>
        <v>1529.37821588348</v>
      </c>
      <c r="AG49" s="11" t="n">
        <f aca="false">AG48*Inputs!$F$57/12</f>
        <v>1519.14665083674</v>
      </c>
      <c r="AH49" s="11" t="n">
        <f aca="false">AH48*Inputs!$F$57/12</f>
        <v>1508.82555959584</v>
      </c>
      <c r="AI49" s="11" t="n">
        <f aca="false">AI48*Inputs!$F$57/12</f>
        <v>1498.41415880658</v>
      </c>
      <c r="AJ49" s="11" t="n">
        <f aca="false">AJ48*Inputs!$F$57/12</f>
        <v>1487.91165826042</v>
      </c>
      <c r="AK49" s="11" t="n">
        <f aca="false">AK48*Inputs!$F$57/12</f>
        <v>1477.31726083448</v>
      </c>
      <c r="AL49" s="11" t="n">
        <f aca="false">AL48*Inputs!$F$57/12</f>
        <v>1466.63016243106</v>
      </c>
    </row>
    <row r="50" customFormat="false" ht="15" hidden="false" customHeight="false" outlineLevel="0" collapsed="false">
      <c r="A50" s="2" t="s">
        <v>232</v>
      </c>
      <c r="B50" s="4"/>
      <c r="C50" s="11" t="n">
        <f aca="false">IF(C$2&gt;Inputs!$F$55,MIN(Inputs!$F$62,C48+C49),0)</f>
        <v>0</v>
      </c>
      <c r="D50" s="11" t="n">
        <f aca="false">IF(D$2&gt;Inputs!$F$55,MIN(Inputs!$F$62,D48+D49),0)</f>
        <v>0</v>
      </c>
      <c r="E50" s="11" t="n">
        <f aca="false">IF(E$2&gt;Inputs!$F$55,MIN(Inputs!$F$62,E48+E49),0)</f>
        <v>0</v>
      </c>
      <c r="F50" s="11" t="n">
        <f aca="false">IF(F$2&gt;Inputs!$F$55,MIN(Inputs!$F$62,F48+F49),0)</f>
        <v>0</v>
      </c>
      <c r="G50" s="11" t="n">
        <f aca="false">IF(G$2&gt;Inputs!$F$55,MIN(Inputs!$F$62,G48+G49),0)</f>
        <v>0</v>
      </c>
      <c r="H50" s="11" t="n">
        <f aca="false">IF(H$2&gt;Inputs!$F$55,MIN(Inputs!$F$62,H48+H49),0)</f>
        <v>2698.69993551094</v>
      </c>
      <c r="I50" s="11" t="n">
        <f aca="false">IF(I$2&gt;Inputs!$F$55,MIN(Inputs!$F$62,I48+I49),0)</f>
        <v>2698.69993551094</v>
      </c>
      <c r="J50" s="11" t="n">
        <f aca="false">IF(J$2&gt;Inputs!$F$55,MIN(Inputs!$F$62,J48+J49),0)</f>
        <v>2698.69993551094</v>
      </c>
      <c r="K50" s="11" t="n">
        <f aca="false">IF(K$2&gt;Inputs!$F$55,MIN(Inputs!$F$62,K48+K49),0)</f>
        <v>2698.69993551094</v>
      </c>
      <c r="L50" s="11" t="n">
        <f aca="false">IF(L$2&gt;Inputs!$F$55,MIN(Inputs!$F$62,L48+L49),0)</f>
        <v>2698.69993551094</v>
      </c>
      <c r="M50" s="11" t="n">
        <f aca="false">IF(M$2&gt;Inputs!$F$55,MIN(Inputs!$F$62,M48+M49),0)</f>
        <v>2698.69993551094</v>
      </c>
      <c r="N50" s="11" t="n">
        <f aca="false">IF(N$2&gt;Inputs!$F$55,MIN(Inputs!$F$62,N48+N49),0)</f>
        <v>2698.69993551094</v>
      </c>
      <c r="O50" s="11" t="n">
        <f aca="false">IF(O$2&gt;Inputs!$F$55,MIN(Inputs!$F$62,O48+O49),0)</f>
        <v>2698.69993551094</v>
      </c>
      <c r="P50" s="11" t="n">
        <f aca="false">IF(P$2&gt;Inputs!$F$55,MIN(Inputs!$F$62,P48+P49),0)</f>
        <v>2698.69993551094</v>
      </c>
      <c r="Q50" s="11" t="n">
        <f aca="false">IF(Q$2&gt;Inputs!$F$55,MIN(Inputs!$F$62,Q48+Q49),0)</f>
        <v>2698.69993551094</v>
      </c>
      <c r="R50" s="11" t="n">
        <f aca="false">IF(R$2&gt;Inputs!$F$55,MIN(Inputs!$F$62,R48+R49),0)</f>
        <v>2698.69993551094</v>
      </c>
      <c r="S50" s="11" t="n">
        <f aca="false">IF(S$2&gt;Inputs!$F$55,MIN(Inputs!$F$62,S48+S49),0)</f>
        <v>2698.69993551094</v>
      </c>
      <c r="T50" s="11" t="n">
        <f aca="false">IF(T$2&gt;Inputs!$F$55,MIN(Inputs!$F$62,T48+T49),0)</f>
        <v>2698.69993551094</v>
      </c>
      <c r="U50" s="11" t="n">
        <f aca="false">IF(U$2&gt;Inputs!$F$55,MIN(Inputs!$F$62,U48+U49),0)</f>
        <v>2698.69993551094</v>
      </c>
      <c r="V50" s="11" t="n">
        <f aca="false">IF(V$2&gt;Inputs!$F$55,MIN(Inputs!$F$62,V48+V49),0)</f>
        <v>2698.69993551094</v>
      </c>
      <c r="W50" s="11" t="n">
        <f aca="false">IF(W$2&gt;Inputs!$F$55,MIN(Inputs!$F$62,W48+W49),0)</f>
        <v>2698.69993551094</v>
      </c>
      <c r="X50" s="11" t="n">
        <f aca="false">IF(X$2&gt;Inputs!$F$55,MIN(Inputs!$F$62,X48+X49),0)</f>
        <v>2698.69993551094</v>
      </c>
      <c r="Y50" s="11" t="n">
        <f aca="false">IF(Y$2&gt;Inputs!$F$55,MIN(Inputs!$F$62,Y48+Y49),0)</f>
        <v>2698.69993551094</v>
      </c>
      <c r="Z50" s="11" t="n">
        <f aca="false">IF(Z$2&gt;Inputs!$F$55,MIN(Inputs!$F$62,Z48+Z49),0)</f>
        <v>2698.69993551094</v>
      </c>
      <c r="AA50" s="11" t="n">
        <f aca="false">IF(AA$2&gt;Inputs!$F$55,MIN(Inputs!$F$62,AA48+AA49),0)</f>
        <v>2698.69993551094</v>
      </c>
      <c r="AB50" s="11" t="n">
        <f aca="false">IF(AB$2&gt;Inputs!$F$55,MIN(Inputs!$F$62,AB48+AB49),0)</f>
        <v>2698.69993551094</v>
      </c>
      <c r="AC50" s="11" t="n">
        <f aca="false">IF(AC$2&gt;Inputs!$F$55,MIN(Inputs!$F$62,AC48+AC49),0)</f>
        <v>2698.69993551094</v>
      </c>
      <c r="AD50" s="11" t="n">
        <f aca="false">IF(AD$2&gt;Inputs!$F$55,MIN(Inputs!$F$62,AD48+AD49),0)</f>
        <v>2698.69993551094</v>
      </c>
      <c r="AE50" s="11" t="n">
        <f aca="false">IF(AE$2&gt;Inputs!$F$55,MIN(Inputs!$F$62,AE48+AE49),0)</f>
        <v>2698.69993551094</v>
      </c>
      <c r="AF50" s="11" t="n">
        <f aca="false">IF(AF$2&gt;Inputs!$F$55,MIN(Inputs!$F$62,AF48+AF49),0)</f>
        <v>2698.69993551094</v>
      </c>
      <c r="AG50" s="11" t="n">
        <f aca="false">IF(AG$2&gt;Inputs!$F$55,MIN(Inputs!$F$62,AG48+AG49),0)</f>
        <v>2698.69993551094</v>
      </c>
      <c r="AH50" s="11" t="n">
        <f aca="false">IF(AH$2&gt;Inputs!$F$55,MIN(Inputs!$F$62,AH48+AH49),0)</f>
        <v>2698.69993551094</v>
      </c>
      <c r="AI50" s="11" t="n">
        <f aca="false">IF(AI$2&gt;Inputs!$F$55,MIN(Inputs!$F$62,AI48+AI49),0)</f>
        <v>2698.69993551094</v>
      </c>
      <c r="AJ50" s="11" t="n">
        <f aca="false">IF(AJ$2&gt;Inputs!$F$55,MIN(Inputs!$F$62,AJ48+AJ49),0)</f>
        <v>2698.69993551094</v>
      </c>
      <c r="AK50" s="11" t="n">
        <f aca="false">IF(AK$2&gt;Inputs!$F$55,MIN(Inputs!$F$62,AK48+AK49),0)</f>
        <v>2698.69993551094</v>
      </c>
      <c r="AL50" s="11" t="n">
        <f aca="false">IF(AL$2&gt;Inputs!$F$55,MIN(Inputs!$F$62,AL48+AL49),0)</f>
        <v>2698.69993551094</v>
      </c>
    </row>
    <row r="51" customFormat="false" ht="15" hidden="false" customHeight="false" outlineLevel="0" collapsed="false">
      <c r="A51" s="2" t="s">
        <v>233</v>
      </c>
      <c r="B51" s="4"/>
      <c r="C51" s="11" t="n">
        <f aca="false">C48+C46+C49-C50</f>
        <v>0</v>
      </c>
      <c r="D51" s="11" t="n">
        <f aca="false">D48+D46+D49-D50</f>
        <v>0</v>
      </c>
      <c r="E51" s="11" t="n">
        <f aca="false">E48+E46+E49-E50</f>
        <v>0</v>
      </c>
      <c r="F51" s="11" t="n">
        <f aca="false">F48+F46+F49-F50</f>
        <v>0</v>
      </c>
      <c r="G51" s="11" t="n">
        <f aca="false">G48+G46+G49-G50</f>
        <v>200000</v>
      </c>
      <c r="H51" s="11" t="n">
        <f aca="false">H48+H46+H49-H50</f>
        <v>199051.300064489</v>
      </c>
      <c r="I51" s="11" t="n">
        <f aca="false">I48+I46+I49-I50</f>
        <v>198094.299004542</v>
      </c>
      <c r="J51" s="11" t="n">
        <f aca="false">J48+J46+J49-J50</f>
        <v>197128.924185321</v>
      </c>
      <c r="K51" s="11" t="n">
        <f aca="false">K48+K46+K49-K50</f>
        <v>196155.102336432</v>
      </c>
      <c r="L51" s="11" t="n">
        <f aca="false">L48+L46+L49-L50</f>
        <v>195172.759546365</v>
      </c>
      <c r="M51" s="11" t="n">
        <f aca="false">M48+M46+M49-M50</f>
        <v>194181.821256885</v>
      </c>
      <c r="N51" s="11" t="n">
        <f aca="false">N48+N46+N49-N50</f>
        <v>193182.212257371</v>
      </c>
      <c r="O51" s="11" t="n">
        <f aca="false">O48+O46+O49-O50</f>
        <v>192173.856679112</v>
      </c>
      <c r="P51" s="11" t="n">
        <f aca="false">P48+P46+P49-P50</f>
        <v>191156.677989544</v>
      </c>
      <c r="Q51" s="11" t="n">
        <f aca="false">Q48+Q46+Q49-Q50</f>
        <v>190130.598986441</v>
      </c>
      <c r="R51" s="11" t="n">
        <f aca="false">R48+R46+R49-R50</f>
        <v>189095.541792062</v>
      </c>
      <c r="S51" s="11" t="n">
        <f aca="false">S48+S46+S49-S50</f>
        <v>188051.427847231</v>
      </c>
      <c r="T51" s="11" t="n">
        <f aca="false">T48+T46+T49-T50</f>
        <v>186998.177905384</v>
      </c>
      <c r="U51" s="11" t="n">
        <f aca="false">U48+U46+U49-U50</f>
        <v>185935.712026545</v>
      </c>
      <c r="V51" s="11" t="n">
        <f aca="false">V48+V46+V49-V50</f>
        <v>184863.949571266</v>
      </c>
      <c r="W51" s="11" t="n">
        <f aca="false">W48+W46+W49-W50</f>
        <v>183782.809194504</v>
      </c>
      <c r="X51" s="11" t="n">
        <f aca="false">X48+X46+X49-X50</f>
        <v>182692.208839445</v>
      </c>
      <c r="Y51" s="11" t="n">
        <f aca="false">Y48+Y46+Y49-Y50</f>
        <v>181592.065731279</v>
      </c>
      <c r="Z51" s="11" t="n">
        <f aca="false">Z48+Z46+Z49-Z50</f>
        <v>180482.296370917</v>
      </c>
      <c r="AA51" s="11" t="n">
        <f aca="false">AA48+AA46+AA49-AA50</f>
        <v>179362.816528651</v>
      </c>
      <c r="AB51" s="11" t="n">
        <f aca="false">AB48+AB46+AB49-AB50</f>
        <v>178233.541237766</v>
      </c>
      <c r="AC51" s="11" t="n">
        <f aca="false">AC48+AC46+AC49-AC50</f>
        <v>177094.384788086</v>
      </c>
      <c r="AD51" s="11" t="n">
        <f aca="false">AD48+AD46+AD49-AD50</f>
        <v>175945.260719471</v>
      </c>
      <c r="AE51" s="11" t="n">
        <f aca="false">AE48+AE46+AE49-AE50</f>
        <v>174786.081815255</v>
      </c>
      <c r="AF51" s="11" t="n">
        <f aca="false">AF48+AF46+AF49-AF50</f>
        <v>173616.760095627</v>
      </c>
      <c r="AG51" s="11" t="n">
        <f aca="false">AG48+AG46+AG49-AG50</f>
        <v>172437.206810953</v>
      </c>
      <c r="AH51" s="11" t="n">
        <f aca="false">AH48+AH46+AH49-AH50</f>
        <v>171247.332435038</v>
      </c>
      <c r="AI51" s="11" t="n">
        <f aca="false">AI48+AI46+AI49-AI50</f>
        <v>170047.046658334</v>
      </c>
      <c r="AJ51" s="11" t="n">
        <f aca="false">AJ48+AJ46+AJ49-AJ50</f>
        <v>168836.258381083</v>
      </c>
      <c r="AK51" s="11" t="n">
        <f aca="false">AK48+AK46+AK49-AK50</f>
        <v>167614.875706407</v>
      </c>
      <c r="AL51" s="11" t="n">
        <f aca="false">AL48+AL46+AL49-AL50</f>
        <v>166382.805933327</v>
      </c>
    </row>
    <row r="52" customFormat="false" ht="15" hidden="false" customHeight="false" outlineLevel="0" collapsed="false">
      <c r="A52" s="2" t="s">
        <v>234</v>
      </c>
      <c r="B52" s="4"/>
      <c r="C52" s="11" t="n">
        <f aca="false">C41-C44+C45+C46+C47-C50</f>
        <v>-47346.1666666667</v>
      </c>
      <c r="D52" s="11" t="n">
        <f aca="false">D41-D44+D45+D46+D47-D50</f>
        <v>-13846.1666666667</v>
      </c>
      <c r="E52" s="11" t="n">
        <f aca="false">E41-E44+E45+E46+E47-E50</f>
        <v>-5626.16666666667</v>
      </c>
      <c r="F52" s="11" t="n">
        <f aca="false">F41-F44+F45+F46+F47-F50</f>
        <v>-6226.16666666667</v>
      </c>
      <c r="G52" s="11" t="n">
        <f aca="false">G41-G44+G45+G46+G47-G50</f>
        <v>401128.833333333</v>
      </c>
      <c r="H52" s="11" t="n">
        <f aca="false">H41-H44+H45+H46+H47-H50</f>
        <v>-10377.3666021776</v>
      </c>
      <c r="I52" s="11" t="n">
        <f aca="false">I41-I44+I45+I46+I47-I50</f>
        <v>-512.366602177606</v>
      </c>
      <c r="J52" s="11" t="n">
        <f aca="false">J41-J44+J45+J46+J47-J50</f>
        <v>2777.63339782239</v>
      </c>
      <c r="K52" s="11" t="n">
        <f aca="false">K41-K44+K45+K46+K47-K50</f>
        <v>657.633397822394</v>
      </c>
      <c r="L52" s="11" t="n">
        <f aca="false">L41-L44+L45+L46+L47-L50</f>
        <v>19890.1333978224</v>
      </c>
      <c r="M52" s="11" t="n">
        <f aca="false">M41-M44+M45+M46+M47-M50</f>
        <v>6465.13339782239</v>
      </c>
      <c r="N52" s="11" t="n">
        <f aca="false">N41-N44+N45+N46+N47-N50</f>
        <v>5395.13339782239</v>
      </c>
      <c r="O52" s="11" t="n">
        <f aca="false">O41-O44+O45+O46+O47-O50</f>
        <v>7432.84173115572</v>
      </c>
      <c r="P52" s="11" t="n">
        <f aca="false">P41-P44+P45+P46+P47-P50</f>
        <v>3590.55006448906</v>
      </c>
      <c r="Q52" s="11" t="n">
        <f aca="false">Q41-Q44+Q45+Q46+Q47-Q50</f>
        <v>13854.9250644891</v>
      </c>
      <c r="R52" s="11" t="n">
        <f aca="false">R41-R44+R45+R46+R47-R50</f>
        <v>26282.4250644891</v>
      </c>
      <c r="S52" s="11" t="n">
        <f aca="false">S41-S44+S45+S46+S47-S50</f>
        <v>19959.9250644891</v>
      </c>
      <c r="T52" s="11" t="n">
        <f aca="false">T41-T44+T45+T46+T47-T50</f>
        <v>7691.80006448906</v>
      </c>
      <c r="U52" s="11" t="n">
        <f aca="false">U41-U44+U45+U46+U47-U50</f>
        <v>37831.1750644891</v>
      </c>
      <c r="V52" s="11" t="n">
        <f aca="false">V41-V44+V45+V46+V47-V50</f>
        <v>19438.0500644891</v>
      </c>
      <c r="W52" s="11" t="n">
        <f aca="false">W41-W44+W45+W46+W47-W50</f>
        <v>29033.0500644891</v>
      </c>
      <c r="X52" s="11" t="n">
        <f aca="false">X41-X44+X45+X46+X47-X50</f>
        <v>43504.9250644891</v>
      </c>
      <c r="Y52" s="11" t="n">
        <f aca="false">Y41-Y44+Y45+Y46+Y47-Y50</f>
        <v>23057.4250644891</v>
      </c>
      <c r="Z52" s="11" t="n">
        <f aca="false">Z41-Z44+Z45+Z46+Z47-Z50</f>
        <v>19424.3000644891</v>
      </c>
      <c r="AA52" s="11" t="n">
        <f aca="false">AA41-AA44+AA45+AA46+AA47-AA50</f>
        <v>31639.5646478224</v>
      </c>
      <c r="AB52" s="11" t="n">
        <f aca="false">AB41-AB44+AB45+AB46+AB47-AB50</f>
        <v>22408.5333978224</v>
      </c>
      <c r="AC52" s="11" t="n">
        <f aca="false">AC41-AC44+AC45+AC46+AC47-AC50</f>
        <v>55726.3771478224</v>
      </c>
      <c r="AD52" s="11" t="n">
        <f aca="false">AD41-AD44+AD45+AD46+AD47-AD50</f>
        <v>36110.3458978224</v>
      </c>
      <c r="AE52" s="11" t="n">
        <f aca="false">AE41-AE44+AE45+AE46+AE47-AE50</f>
        <v>42811.4708978224</v>
      </c>
      <c r="AF52" s="11" t="n">
        <f aca="false">AF41-AF44+AF45+AF46+AF47-AF50</f>
        <v>61820.4396478224</v>
      </c>
      <c r="AG52" s="11" t="n">
        <f aca="false">AG41-AG44+AG45+AG46+AG47-AG50</f>
        <v>50099.4083978224</v>
      </c>
      <c r="AH52" s="11" t="n">
        <f aca="false">AH41-AH44+AH45+AH46+AH47-AH50</f>
        <v>40868.3771478224</v>
      </c>
      <c r="AI52" s="11" t="n">
        <f aca="false">AI41-AI44+AI45+AI46+AI47-AI50</f>
        <v>74186.2208978224</v>
      </c>
      <c r="AJ52" s="11" t="n">
        <f aca="false">AJ41-AJ44+AJ45+AJ46+AJ47-AJ50</f>
        <v>54570.1896478224</v>
      </c>
      <c r="AK52" s="11" t="n">
        <f aca="false">AK41-AK44+AK45+AK46+AK47-AK50</f>
        <v>61271.3146478224</v>
      </c>
      <c r="AL52" s="11" t="n">
        <f aca="false">AL41-AL44+AL45+AL46+AL47-AL50</f>
        <v>61155.2833978224</v>
      </c>
    </row>
    <row r="53" customFormat="false" ht="15" hidden="false" customHeight="false" outlineLevel="0" collapsed="false">
      <c r="A53" s="3" t="s">
        <v>235</v>
      </c>
      <c r="B53" s="4"/>
      <c r="C53" s="11" t="n">
        <f aca="false">0+C52</f>
        <v>-47346.1666666667</v>
      </c>
      <c r="D53" s="11" t="n">
        <f aca="false">C53+D52</f>
        <v>-61192.3333333333</v>
      </c>
      <c r="E53" s="11" t="n">
        <f aca="false">D53+E52</f>
        <v>-66818.5</v>
      </c>
      <c r="F53" s="11" t="n">
        <f aca="false">E53+F52</f>
        <v>-73044.6666666667</v>
      </c>
      <c r="G53" s="11" t="n">
        <f aca="false">F53+G52</f>
        <v>328084.166666667</v>
      </c>
      <c r="H53" s="11" t="n">
        <f aca="false">G53+H52</f>
        <v>317706.800064489</v>
      </c>
      <c r="I53" s="11" t="n">
        <f aca="false">H53+I52</f>
        <v>317194.433462311</v>
      </c>
      <c r="J53" s="11" t="n">
        <f aca="false">I53+J52</f>
        <v>319972.066860134</v>
      </c>
      <c r="K53" s="11" t="n">
        <f aca="false">J53+K52</f>
        <v>320629.700257956</v>
      </c>
      <c r="L53" s="11" t="n">
        <f aca="false">K53+L52</f>
        <v>340519.833655779</v>
      </c>
      <c r="M53" s="11" t="n">
        <f aca="false">L53+M52</f>
        <v>346984.967053601</v>
      </c>
      <c r="N53" s="11" t="n">
        <f aca="false">M53+N52</f>
        <v>352380.100451423</v>
      </c>
      <c r="O53" s="11" t="n">
        <f aca="false">N53+O52</f>
        <v>359812.942182579</v>
      </c>
      <c r="P53" s="11" t="n">
        <f aca="false">O53+P52</f>
        <v>363403.492247068</v>
      </c>
      <c r="Q53" s="11" t="n">
        <f aca="false">P53+Q52</f>
        <v>377258.417311557</v>
      </c>
      <c r="R53" s="11" t="n">
        <f aca="false">Q53+R52</f>
        <v>403540.842376046</v>
      </c>
      <c r="S53" s="11" t="n">
        <f aca="false">R53+S52</f>
        <v>423500.767440535</v>
      </c>
      <c r="T53" s="11" t="n">
        <f aca="false">S53+T52</f>
        <v>431192.567505024</v>
      </c>
      <c r="U53" s="11" t="n">
        <f aca="false">T53+U52</f>
        <v>469023.742569514</v>
      </c>
      <c r="V53" s="11" t="n">
        <f aca="false">U53+V52</f>
        <v>488461.792634003</v>
      </c>
      <c r="W53" s="11" t="n">
        <f aca="false">V53+W52</f>
        <v>517494.842698492</v>
      </c>
      <c r="X53" s="11" t="n">
        <f aca="false">W53+X52</f>
        <v>560999.767762981</v>
      </c>
      <c r="Y53" s="11" t="n">
        <f aca="false">X53+Y52</f>
        <v>584057.19282747</v>
      </c>
      <c r="Z53" s="11" t="n">
        <f aca="false">Y53+Z52</f>
        <v>603481.492891959</v>
      </c>
      <c r="AA53" s="11" t="n">
        <f aca="false">Z53+AA52</f>
        <v>635121.057539781</v>
      </c>
      <c r="AB53" s="11" t="n">
        <f aca="false">AA53+AB52</f>
        <v>657529.590937604</v>
      </c>
      <c r="AC53" s="11" t="n">
        <f aca="false">AB53+AC52</f>
        <v>713255.968085426</v>
      </c>
      <c r="AD53" s="11" t="n">
        <f aca="false">AC53+AD52</f>
        <v>749366.313983248</v>
      </c>
      <c r="AE53" s="11" t="n">
        <f aca="false">AD53+AE52</f>
        <v>792177.784881071</v>
      </c>
      <c r="AF53" s="11" t="n">
        <f aca="false">AE53+AF52</f>
        <v>853998.224528893</v>
      </c>
      <c r="AG53" s="11" t="n">
        <f aca="false">AF53+AG52</f>
        <v>904097.632926716</v>
      </c>
      <c r="AH53" s="11" t="n">
        <f aca="false">AG53+AH52</f>
        <v>944966.010074538</v>
      </c>
      <c r="AI53" s="11" t="n">
        <f aca="false">AH53+AI52</f>
        <v>1019152.23097236</v>
      </c>
      <c r="AJ53" s="11" t="n">
        <f aca="false">AI53+AJ52</f>
        <v>1073722.42062018</v>
      </c>
      <c r="AK53" s="11" t="n">
        <f aca="false">AJ53+AK52</f>
        <v>1134993.73526801</v>
      </c>
      <c r="AL53" s="11" t="n">
        <f aca="false">AK53+AL52</f>
        <v>1196149.01866583</v>
      </c>
    </row>
    <row r="54" customFormat="false" ht="15" hidden="false" customHeight="false" outlineLevel="0" collapsed="false">
      <c r="A54" s="2" t="s">
        <v>236</v>
      </c>
      <c r="B54" s="4"/>
      <c r="C54" s="11" t="n">
        <f aca="false">0+C41-C44-C50</f>
        <v>-47346.1666666667</v>
      </c>
      <c r="D54" s="11" t="n">
        <f aca="false">C54+D41-D44-D50</f>
        <v>-61192.3333333333</v>
      </c>
      <c r="E54" s="11" t="n">
        <f aca="false">D54+E41-E44-E50</f>
        <v>-66818.5</v>
      </c>
      <c r="F54" s="11" t="n">
        <f aca="false">E54+F41-F44-F50</f>
        <v>-73044.6666666667</v>
      </c>
      <c r="G54" s="11" t="n">
        <f aca="false">F54+G41-G44-G50</f>
        <v>-71915.8333333334</v>
      </c>
      <c r="H54" s="11" t="n">
        <f aca="false">G54+H41-H44-H50</f>
        <v>-82293.199935511</v>
      </c>
      <c r="I54" s="11" t="n">
        <f aca="false">H54+I41-I44-I50</f>
        <v>-82805.5665376886</v>
      </c>
      <c r="J54" s="11" t="n">
        <f aca="false">I54+J41-J44-J50</f>
        <v>-80027.9331398662</v>
      </c>
      <c r="K54" s="11" t="n">
        <f aca="false">J54+K41-K44-K50</f>
        <v>-79370.2997420438</v>
      </c>
      <c r="L54" s="11" t="n">
        <f aca="false">K54+L41-L44-L50</f>
        <v>-59480.1663442214</v>
      </c>
      <c r="M54" s="11" t="n">
        <f aca="false">L54+M41-M44-M50</f>
        <v>-53015.032946399</v>
      </c>
      <c r="N54" s="11" t="n">
        <f aca="false">M54+N41-N44-N50</f>
        <v>-47619.8995485766</v>
      </c>
      <c r="O54" s="11" t="n">
        <f aca="false">N54+O41-O44-O50</f>
        <v>-40187.0578174209</v>
      </c>
      <c r="P54" s="11" t="n">
        <f aca="false">O54+P41-P44-P50</f>
        <v>-36596.5077529318</v>
      </c>
      <c r="Q54" s="11" t="n">
        <f aca="false">P54+Q41-Q44-Q50</f>
        <v>-22741.5826884428</v>
      </c>
      <c r="R54" s="11" t="n">
        <f aca="false">Q54+R41-R44-R50</f>
        <v>3540.84237604629</v>
      </c>
      <c r="S54" s="11" t="n">
        <f aca="false">R54+S41-S44-S50</f>
        <v>23500.7674405354</v>
      </c>
      <c r="T54" s="11" t="n">
        <f aca="false">S54+T41-T44-T50</f>
        <v>31192.5675050244</v>
      </c>
      <c r="U54" s="11" t="n">
        <f aca="false">T54+U41-U44-U50</f>
        <v>69023.7425695135</v>
      </c>
      <c r="V54" s="11" t="n">
        <f aca="false">U54+V41-V44-V50</f>
        <v>88461.7926340025</v>
      </c>
      <c r="W54" s="11" t="n">
        <f aca="false">V54+W41-W44-W50</f>
        <v>117494.842698492</v>
      </c>
      <c r="X54" s="11" t="n">
        <f aca="false">W54+X41-X44-X50</f>
        <v>160999.767762981</v>
      </c>
      <c r="Y54" s="11" t="n">
        <f aca="false">X54+Y41-Y44-Y50</f>
        <v>184057.19282747</v>
      </c>
      <c r="Z54" s="11" t="n">
        <f aca="false">Y54+Z41-Z44-Z50</f>
        <v>203481.492891959</v>
      </c>
      <c r="AA54" s="11" t="n">
        <f aca="false">Z54+AA41-AA44-AA50</f>
        <v>235121.057539781</v>
      </c>
      <c r="AB54" s="11" t="n">
        <f aca="false">AA54+AB41-AB44-AB50</f>
        <v>257529.590937604</v>
      </c>
      <c r="AC54" s="11" t="n">
        <f aca="false">AB54+AC41-AC44-AC50</f>
        <v>313255.968085426</v>
      </c>
      <c r="AD54" s="11" t="n">
        <f aca="false">AC54+AD41-AD44-AD50</f>
        <v>349366.313983248</v>
      </c>
      <c r="AE54" s="11" t="n">
        <f aca="false">AD54+AE41-AE44-AE50</f>
        <v>392177.784881071</v>
      </c>
      <c r="AF54" s="11" t="n">
        <f aca="false">AE54+AF41-AF44-AF50</f>
        <v>453998.224528893</v>
      </c>
      <c r="AG54" s="11" t="n">
        <f aca="false">AF54+AG41-AG44-AG50</f>
        <v>504097.632926716</v>
      </c>
      <c r="AH54" s="11" t="n">
        <f aca="false">AG54+AH41-AH44-AH50</f>
        <v>544966.010074538</v>
      </c>
      <c r="AI54" s="11" t="n">
        <f aca="false">AH54+AI41-AI44-AI50</f>
        <v>619152.23097236</v>
      </c>
      <c r="AJ54" s="11" t="n">
        <f aca="false">AI54+AJ41-AJ44-AJ50</f>
        <v>673722.420620183</v>
      </c>
      <c r="AK54" s="11" t="n">
        <f aca="false">AJ54+AK41-AK44-AK50</f>
        <v>734993.735268005</v>
      </c>
      <c r="AL54" s="11" t="n">
        <f aca="false">AK54+AL41-AL44-AL50</f>
        <v>796149.018665827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2026-10-20T16:12:37Z</dcterms:created>
  <dc:creator>openpyxl</dc:creator>
  <dc:description/>
  <dc:language>en-US</dc:language>
  <cp:lastModifiedBy/>
  <dcterms:modified xsi:type="dcterms:W3CDTF">2026-10-20T16:12:38Z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